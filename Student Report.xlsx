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dix\Desktop\Grind\Tech\Data Analysis\"/>
    </mc:Choice>
  </mc:AlternateContent>
  <xr:revisionPtr revIDLastSave="0" documentId="13_ncr:1_{F9F3CD44-14FB-4E2C-8F84-B4F8A3755D10}" xr6:coauthVersionLast="47" xr6:coauthVersionMax="47" xr10:uidLastSave="{00000000-0000-0000-0000-000000000000}"/>
  <bookViews>
    <workbookView minimized="1" xWindow="8520" yWindow="1010" windowWidth="10520" windowHeight="7270" activeTab="1" xr2:uid="{00000000-000D-0000-FFFF-FFFF00000000}"/>
  </bookViews>
  <sheets>
    <sheet name="Student Records" sheetId="1" r:id="rId1"/>
    <sheet name="Dashboard" sheetId="3" r:id="rId2"/>
    <sheet name="Report Cards" sheetId="2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7" i="2" l="1"/>
  <c r="C20" i="2"/>
  <c r="D20" i="2" s="1"/>
  <c r="C26" i="2"/>
  <c r="F41" i="3"/>
  <c r="G41" i="3"/>
  <c r="H41" i="3"/>
  <c r="I41" i="3"/>
  <c r="J41" i="3"/>
  <c r="K41" i="3"/>
  <c r="E41" i="3"/>
  <c r="M17" i="3"/>
  <c r="N17" i="3" s="1"/>
  <c r="L17" i="3"/>
  <c r="M14" i="3"/>
  <c r="N14" i="3" s="1"/>
  <c r="L14" i="3"/>
  <c r="M29" i="3"/>
  <c r="N29" i="3" s="1"/>
  <c r="L29" i="3"/>
  <c r="M38" i="3"/>
  <c r="N38" i="3" s="1"/>
  <c r="L38" i="3"/>
  <c r="M35" i="3"/>
  <c r="N35" i="3" s="1"/>
  <c r="L35" i="3"/>
  <c r="M15" i="3"/>
  <c r="N15" i="3" s="1"/>
  <c r="L15" i="3"/>
  <c r="M25" i="3"/>
  <c r="N25" i="3" s="1"/>
  <c r="L25" i="3"/>
  <c r="M12" i="3"/>
  <c r="N12" i="3" s="1"/>
  <c r="L12" i="3"/>
  <c r="M20" i="3"/>
  <c r="N20" i="3" s="1"/>
  <c r="L20" i="3"/>
  <c r="M16" i="3"/>
  <c r="N16" i="3" s="1"/>
  <c r="L16" i="3"/>
  <c r="M39" i="3"/>
  <c r="N39" i="3" s="1"/>
  <c r="L39" i="3"/>
  <c r="M21" i="3"/>
  <c r="N21" i="3" s="1"/>
  <c r="L21" i="3"/>
  <c r="M18" i="3"/>
  <c r="N18" i="3" s="1"/>
  <c r="L18" i="3"/>
  <c r="M31" i="3"/>
  <c r="N31" i="3" s="1"/>
  <c r="L31" i="3"/>
  <c r="M30" i="3"/>
  <c r="N30" i="3" s="1"/>
  <c r="L30" i="3"/>
  <c r="M37" i="3"/>
  <c r="N37" i="3" s="1"/>
  <c r="L37" i="3"/>
  <c r="M24" i="3"/>
  <c r="N24" i="3" s="1"/>
  <c r="L24" i="3"/>
  <c r="M28" i="3"/>
  <c r="N28" i="3" s="1"/>
  <c r="L28" i="3"/>
  <c r="M22" i="3"/>
  <c r="N22" i="3" s="1"/>
  <c r="L22" i="3"/>
  <c r="M32" i="3"/>
  <c r="N32" i="3" s="1"/>
  <c r="L32" i="3"/>
  <c r="M27" i="3"/>
  <c r="N27" i="3" s="1"/>
  <c r="L27" i="3"/>
  <c r="M19" i="3"/>
  <c r="N19" i="3" s="1"/>
  <c r="L19" i="3"/>
  <c r="M26" i="3"/>
  <c r="N26" i="3" s="1"/>
  <c r="L26" i="3"/>
  <c r="M23" i="3"/>
  <c r="N23" i="3" s="1"/>
  <c r="L23" i="3"/>
  <c r="M33" i="3"/>
  <c r="N33" i="3" s="1"/>
  <c r="L33" i="3"/>
  <c r="M36" i="3"/>
  <c r="N36" i="3" s="1"/>
  <c r="L36" i="3"/>
  <c r="M13" i="3"/>
  <c r="N13" i="3" s="1"/>
  <c r="L13" i="3"/>
  <c r="M11" i="3"/>
  <c r="N11" i="3" s="1"/>
  <c r="L11" i="3"/>
  <c r="M40" i="3"/>
  <c r="N40" i="3" s="1"/>
  <c r="L40" i="3"/>
  <c r="M34" i="3"/>
  <c r="N34" i="3" s="1"/>
  <c r="L34" i="3"/>
  <c r="L15" i="1"/>
  <c r="N15" i="1" s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F26" i="2"/>
  <c r="L3" i="1"/>
  <c r="L4" i="1"/>
  <c r="N4" i="1" s="1"/>
  <c r="L5" i="1"/>
  <c r="L6" i="1"/>
  <c r="L7" i="1"/>
  <c r="L8" i="1"/>
  <c r="N8" i="1" s="1"/>
  <c r="L9" i="1"/>
  <c r="L10" i="1"/>
  <c r="L11" i="1"/>
  <c r="L12" i="1"/>
  <c r="N12" i="1" s="1"/>
  <c r="L13" i="1"/>
  <c r="L14" i="1"/>
  <c r="L16" i="1"/>
  <c r="N16" i="1" s="1"/>
  <c r="L17" i="1"/>
  <c r="L18" i="1"/>
  <c r="L19" i="1"/>
  <c r="L20" i="1"/>
  <c r="N20" i="1" s="1"/>
  <c r="L21" i="1"/>
  <c r="L22" i="1"/>
  <c r="L23" i="1"/>
  <c r="L24" i="1"/>
  <c r="N24" i="1" s="1"/>
  <c r="L25" i="1"/>
  <c r="L26" i="1"/>
  <c r="L27" i="1"/>
  <c r="L28" i="1"/>
  <c r="N28" i="1" s="1"/>
  <c r="L29" i="1"/>
  <c r="M29" i="1" s="1"/>
  <c r="L30" i="1"/>
  <c r="L31" i="1"/>
  <c r="L2" i="1"/>
  <c r="C23" i="2"/>
  <c r="D23" i="2" s="1"/>
  <c r="C22" i="2"/>
  <c r="D22" i="2" s="1"/>
  <c r="C21" i="2"/>
  <c r="D21" i="2" s="1"/>
  <c r="C19" i="2"/>
  <c r="D19" i="2" s="1"/>
  <c r="C18" i="2"/>
  <c r="D18" i="2" s="1"/>
  <c r="C17" i="2"/>
  <c r="D17" i="2" s="1"/>
  <c r="C13" i="2"/>
  <c r="C12" i="2"/>
  <c r="M41" i="3" l="1"/>
  <c r="A40" i="3"/>
  <c r="A11" i="3"/>
  <c r="A36" i="3"/>
  <c r="A33" i="3"/>
  <c r="A26" i="3"/>
  <c r="A27" i="3"/>
  <c r="A32" i="3"/>
  <c r="A22" i="3"/>
  <c r="A24" i="3"/>
  <c r="A37" i="3"/>
  <c r="A30" i="3"/>
  <c r="A31" i="3"/>
  <c r="A18" i="3"/>
  <c r="A21" i="3"/>
  <c r="A39" i="3"/>
  <c r="A16" i="3"/>
  <c r="A20" i="3"/>
  <c r="A12" i="3"/>
  <c r="A25" i="3"/>
  <c r="A15" i="3"/>
  <c r="A35" i="3"/>
  <c r="A38" i="3"/>
  <c r="A29" i="3"/>
  <c r="A14" i="3"/>
  <c r="A17" i="3"/>
  <c r="A34" i="3"/>
  <c r="A13" i="3"/>
  <c r="A23" i="3"/>
  <c r="A19" i="3"/>
  <c r="A28" i="3"/>
  <c r="M15" i="1"/>
  <c r="M31" i="1"/>
  <c r="M27" i="1"/>
  <c r="M23" i="1"/>
  <c r="M19" i="1"/>
  <c r="M11" i="1"/>
  <c r="M7" i="1"/>
  <c r="M28" i="1"/>
  <c r="N3" i="1"/>
  <c r="N7" i="1"/>
  <c r="N11" i="1"/>
  <c r="N19" i="1"/>
  <c r="N23" i="1"/>
  <c r="N27" i="1"/>
  <c r="M30" i="1"/>
  <c r="M26" i="1"/>
  <c r="M22" i="1"/>
  <c r="M18" i="1"/>
  <c r="M14" i="1"/>
  <c r="M10" i="1"/>
  <c r="M6" i="1"/>
  <c r="M25" i="1"/>
  <c r="M21" i="1"/>
  <c r="M17" i="1"/>
  <c r="M13" i="1"/>
  <c r="M9" i="1"/>
  <c r="M5" i="1"/>
  <c r="N31" i="1"/>
  <c r="N5" i="1"/>
  <c r="N9" i="1"/>
  <c r="N13" i="1"/>
  <c r="N17" i="1"/>
  <c r="N21" i="1"/>
  <c r="N25" i="1"/>
  <c r="N29" i="1"/>
  <c r="F25" i="2"/>
  <c r="N2" i="1"/>
  <c r="N6" i="1"/>
  <c r="N10" i="1"/>
  <c r="N14" i="1"/>
  <c r="N18" i="1"/>
  <c r="N22" i="1"/>
  <c r="N26" i="1"/>
  <c r="N30" i="1"/>
  <c r="M2" i="1"/>
  <c r="C25" i="2" s="1"/>
  <c r="M3" i="1"/>
  <c r="M4" i="1"/>
  <c r="M8" i="1"/>
  <c r="M12" i="1"/>
  <c r="M16" i="1"/>
  <c r="M20" i="1"/>
  <c r="M24" i="1"/>
</calcChain>
</file>

<file path=xl/sharedStrings.xml><?xml version="1.0" encoding="utf-8"?>
<sst xmlns="http://schemas.openxmlformats.org/spreadsheetml/2006/main" count="249" uniqueCount="118">
  <si>
    <t>STUDENT ID</t>
  </si>
  <si>
    <t>NAME</t>
  </si>
  <si>
    <t>DEPT</t>
  </si>
  <si>
    <t>MATHS</t>
  </si>
  <si>
    <t>ENGLISH</t>
  </si>
  <si>
    <t>PHY</t>
  </si>
  <si>
    <t>BIO</t>
  </si>
  <si>
    <t>CHE</t>
  </si>
  <si>
    <t>AGRIC</t>
  </si>
  <si>
    <t>GEO</t>
  </si>
  <si>
    <t>IKT34</t>
  </si>
  <si>
    <t>Adeola Musa</t>
  </si>
  <si>
    <t>Computer Science</t>
  </si>
  <si>
    <t>IKT02</t>
  </si>
  <si>
    <t>Tunde Balogun</t>
  </si>
  <si>
    <t>Accounting</t>
  </si>
  <si>
    <t>IKT89</t>
  </si>
  <si>
    <t>Chioma Okeke</t>
  </si>
  <si>
    <t>Biology</t>
  </si>
  <si>
    <t>IKT11</t>
  </si>
  <si>
    <t>Ibrahim Bello</t>
  </si>
  <si>
    <t>Engineering</t>
  </si>
  <si>
    <t>IKT53</t>
  </si>
  <si>
    <t>Ngozi Eze</t>
  </si>
  <si>
    <t>Economics</t>
  </si>
  <si>
    <t>IKT27</t>
  </si>
  <si>
    <t>Samuel Adeyemi</t>
  </si>
  <si>
    <t>Geography</t>
  </si>
  <si>
    <t>IKT75</t>
  </si>
  <si>
    <t>Ruth Akinwale</t>
  </si>
  <si>
    <t>Microbiology</t>
  </si>
  <si>
    <t>IKT20</t>
  </si>
  <si>
    <t>Emeka Obi</t>
  </si>
  <si>
    <t>Physics</t>
  </si>
  <si>
    <t>IKT61</t>
  </si>
  <si>
    <t>Zainab Sadiq</t>
  </si>
  <si>
    <t>Chemistry</t>
  </si>
  <si>
    <t>IKT08</t>
  </si>
  <si>
    <t>David Ojo</t>
  </si>
  <si>
    <t>IKT44</t>
  </si>
  <si>
    <t>Grace Nwosu</t>
  </si>
  <si>
    <t>IKT92</t>
  </si>
  <si>
    <t>Kingsley Uche</t>
  </si>
  <si>
    <t>IKT36</t>
  </si>
  <si>
    <t>Amina Bello</t>
  </si>
  <si>
    <t>Agriculture</t>
  </si>
  <si>
    <t>IKT14</t>
  </si>
  <si>
    <t>Peter Okon</t>
  </si>
  <si>
    <t>Geology</t>
  </si>
  <si>
    <t>IKT71</t>
  </si>
  <si>
    <t>Blessing Eze</t>
  </si>
  <si>
    <t>IKT16</t>
  </si>
  <si>
    <t>Kolade Lawal</t>
  </si>
  <si>
    <t>IKT50</t>
  </si>
  <si>
    <t>Halima Musa</t>
  </si>
  <si>
    <t>IKT83</t>
  </si>
  <si>
    <t>Victor James</t>
  </si>
  <si>
    <t>IKT05</t>
  </si>
  <si>
    <t>Joy Olatunji</t>
  </si>
  <si>
    <t>IKT99</t>
  </si>
  <si>
    <t>Sani Abdullahi</t>
  </si>
  <si>
    <t>IKT21</t>
  </si>
  <si>
    <t>Esther Okafor</t>
  </si>
  <si>
    <t>IKT64</t>
  </si>
  <si>
    <t>Adewale Yusuf</t>
  </si>
  <si>
    <t>IKT03</t>
  </si>
  <si>
    <t>Chinedu Nnamdi</t>
  </si>
  <si>
    <t>IKT57</t>
  </si>
  <si>
    <t>Maryam Aliyu</t>
  </si>
  <si>
    <t>IKT41</t>
  </si>
  <si>
    <t>Paul Johnson</t>
  </si>
  <si>
    <t>IKT12</t>
  </si>
  <si>
    <t>Lilian Obi</t>
  </si>
  <si>
    <t>IKT68</t>
  </si>
  <si>
    <t>Usman Garba</t>
  </si>
  <si>
    <t>IKT25</t>
  </si>
  <si>
    <t>Rachel Danjuma</t>
  </si>
  <si>
    <t>IKT77</t>
  </si>
  <si>
    <t>Stephen Adeoye</t>
  </si>
  <si>
    <t>IKT01</t>
  </si>
  <si>
    <t>Fatima Lawal</t>
  </si>
  <si>
    <t>Department</t>
  </si>
  <si>
    <t>Name</t>
  </si>
  <si>
    <t>Student ID</t>
  </si>
  <si>
    <t>Subject</t>
  </si>
  <si>
    <t>Score/100</t>
  </si>
  <si>
    <t>Grade</t>
  </si>
  <si>
    <t xml:space="preserve">GRADE </t>
  </si>
  <si>
    <t>80-100</t>
  </si>
  <si>
    <t>65-79</t>
  </si>
  <si>
    <t>55-64</t>
  </si>
  <si>
    <t>45-54</t>
  </si>
  <si>
    <t>39-44</t>
  </si>
  <si>
    <t>TOTAL AVERAGE</t>
  </si>
  <si>
    <t>POSITION</t>
  </si>
  <si>
    <t>TOTAL</t>
  </si>
  <si>
    <t>TOTAL SUBJECTS</t>
  </si>
  <si>
    <t>TOTAL STUDENTS</t>
  </si>
  <si>
    <t>RANK</t>
  </si>
  <si>
    <t>GRADE</t>
  </si>
  <si>
    <t>Class Average</t>
  </si>
  <si>
    <t>IOTB TECH ACADEMY - STUDENT REPORT CARD</t>
  </si>
  <si>
    <t xml:space="preserve">  Grade A &gt;= 79</t>
  </si>
  <si>
    <t xml:space="preserve">  Grade B  &gt;= 69</t>
  </si>
  <si>
    <t xml:space="preserve">  Grade C &gt;= 59</t>
  </si>
  <si>
    <t xml:space="preserve">  Grade D  &gt;= 49</t>
  </si>
  <si>
    <t xml:space="preserve">  Grade F  &lt; 40 </t>
  </si>
  <si>
    <t>AVERAGE %</t>
  </si>
  <si>
    <t>30 Students · 7 Subjects · Academic Year Report</t>
  </si>
  <si>
    <t xml:space="preserve"> STUDENT PERFORMANCE DASHBOARD</t>
  </si>
  <si>
    <t>Management</t>
  </si>
  <si>
    <t>OVERALL GRADE</t>
  </si>
  <si>
    <t>Approved: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</si>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</sst>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0"/>
      <color rgb="FF000000"/>
      <name val="Arial"/>
      <scheme val="minor"/>
    </font>
    <font>
      <b/>
      <sz val="11"/>
      <color theme="1"/>
      <name val="'Segoe UI'"/>
    </font>
    <font>
      <sz val="11"/>
      <color theme="1"/>
      <name val="'Segoe UI'"/>
    </font>
    <font>
      <sz val="11"/>
      <color theme="1"/>
      <name val="Arial"/>
    </font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Segoe Fluent Icons"/>
      <family val="1"/>
    </font>
    <font>
      <b/>
      <sz val="11"/>
      <color rgb="FF000000"/>
      <name val="Segoe Fluent Icons"/>
      <family val="1"/>
    </font>
    <font>
      <b/>
      <sz val="10"/>
      <color rgb="FF000000"/>
      <name val="Arial"/>
      <family val="2"/>
      <scheme val="minor"/>
    </font>
    <font>
      <b/>
      <sz val="9"/>
      <name val="Arial"/>
      <family val="2"/>
    </font>
    <font>
      <b/>
      <sz val="18"/>
      <color rgb="FFFFFFFF"/>
      <name val="Arial"/>
      <family val="2"/>
    </font>
    <font>
      <sz val="10"/>
      <color rgb="FFFFFFFF"/>
      <name val="Arial"/>
      <family val="2"/>
    </font>
    <font>
      <sz val="10"/>
      <color theme="6" tint="-0.499984740745262"/>
      <name val="Arial"/>
      <family val="2"/>
    </font>
    <font>
      <sz val="10"/>
      <color rgb="FF000000"/>
      <name val="Comic Sans MS"/>
      <family val="4"/>
    </font>
    <font>
      <b/>
      <sz val="12"/>
      <color rgb="FF000000"/>
      <name val="Comic Sans MS"/>
      <family val="4"/>
    </font>
    <font>
      <sz val="12"/>
      <color rgb="FF000000"/>
      <name val="Comic Sans MS"/>
      <family val="4"/>
    </font>
    <font>
      <sz val="14"/>
      <color rgb="FF000000"/>
      <name val="Arial"/>
      <family val="2"/>
      <scheme val="minor"/>
    </font>
    <font>
      <sz val="20"/>
      <color theme="6" tint="-0.499984740745262"/>
      <name val="Blackadder ITC"/>
      <family val="5"/>
    </font>
    <font>
      <sz val="12"/>
      <color theme="1"/>
      <name val="Comic Sans MS"/>
      <family val="4"/>
    </font>
    <font>
      <sz val="12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249977111117893"/>
        <bgColor rgb="FF3A3A5C"/>
      </patternFill>
    </fill>
    <fill>
      <patternFill patternType="solid">
        <fgColor theme="7" tint="0.39997558519241921"/>
        <bgColor rgb="FF3A3A5C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6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6" fillId="2" borderId="0" xfId="0" applyFont="1" applyFill="1" applyAlignment="1">
      <alignment horizontal="center"/>
    </xf>
    <xf numFmtId="0" fontId="7" fillId="2" borderId="1" xfId="0" applyFont="1" applyFill="1" applyBorder="1"/>
    <xf numFmtId="0" fontId="6" fillId="2" borderId="1" xfId="0" applyFont="1" applyFill="1" applyBorder="1"/>
    <xf numFmtId="1" fontId="0" fillId="0" borderId="0" xfId="0" applyNumberFormat="1" applyFont="1" applyAlignment="1"/>
    <xf numFmtId="0" fontId="8" fillId="0" borderId="0" xfId="0" applyFont="1" applyAlignment="1"/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0" fillId="6" borderId="0" xfId="0" applyFont="1" applyFill="1" applyAlignment="1"/>
    <xf numFmtId="0" fontId="0" fillId="2" borderId="0" xfId="0" applyFont="1" applyFill="1" applyAlignment="1"/>
    <xf numFmtId="0" fontId="5" fillId="2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10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0" fillId="9" borderId="0" xfId="0" applyFont="1" applyFill="1" applyAlignment="1"/>
    <xf numFmtId="0" fontId="12" fillId="8" borderId="0" xfId="0" applyFont="1" applyFill="1" applyAlignment="1">
      <alignment horizontal="center" vertical="center"/>
    </xf>
    <xf numFmtId="0" fontId="0" fillId="5" borderId="0" xfId="0" applyFont="1" applyFill="1" applyAlignment="1"/>
    <xf numFmtId="0" fontId="1" fillId="5" borderId="0" xfId="0" applyFont="1" applyFill="1" applyAlignment="1">
      <alignment horizontal="center" vertical="center"/>
    </xf>
    <xf numFmtId="1" fontId="8" fillId="5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6" fillId="2" borderId="0" xfId="0" applyFont="1" applyFill="1" applyAlignment="1"/>
    <xf numFmtId="0" fontId="17" fillId="2" borderId="0" xfId="0" applyFont="1" applyFill="1" applyAlignment="1"/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/>
    </xf>
    <xf numFmtId="0" fontId="14" fillId="10" borderId="0" xfId="0" applyFont="1" applyFill="1" applyAlignment="1"/>
    <xf numFmtId="0" fontId="15" fillId="10" borderId="0" xfId="0" applyFont="1" applyFill="1" applyAlignment="1"/>
    <xf numFmtId="0" fontId="15" fillId="2" borderId="0" xfId="0" applyFont="1" applyFill="1" applyAlignment="1"/>
    <xf numFmtId="0" fontId="14" fillId="2" borderId="11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8" fillId="2" borderId="9" xfId="0" applyFont="1" applyFill="1" applyBorder="1" applyAlignment="1">
      <alignment horizontal="center" vertical="center"/>
    </xf>
    <xf numFmtId="0" fontId="15" fillId="2" borderId="10" xfId="0" applyFont="1" applyFill="1" applyBorder="1" applyAlignment="1">
      <alignment horizontal="center" vertical="center"/>
    </xf>
    <xf numFmtId="0" fontId="15" fillId="2" borderId="5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" fontId="15" fillId="2" borderId="8" xfId="1" applyNumberFormat="1" applyFont="1" applyFill="1" applyBorder="1" applyAlignment="1">
      <alignment horizontal="center" vertical="center"/>
    </xf>
    <xf numFmtId="0" fontId="19" fillId="2" borderId="0" xfId="0" applyFont="1" applyFill="1" applyAlignment="1"/>
    <xf numFmtId="0" fontId="19" fillId="2" borderId="0" xfId="0" applyFont="1" applyFill="1" applyBorder="1" applyAlignment="1">
      <alignment horizontal="center" vertical="center"/>
    </xf>
    <xf numFmtId="1" fontId="19" fillId="2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406400</xdr:colOff>
      <xdr:row>0</xdr:row>
      <xdr:rowOff>146050</xdr:rowOff>
    </xdr:from>
    <xdr:to>
      <xdr:col>9</xdr:col>
      <xdr:colOff>159658</xdr:colOff>
      <xdr:row>6</xdr:row>
      <xdr:rowOff>101600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5B2C203-E355-4898-B802-7B1FBC1A9D83}"/>
            </a:ext>
          </a:extLst>
        </xdr:cNvPr>
        <xdr:cNvGrpSpPr/>
      </xdr:nvGrpSpPr>
      <xdr:grpSpPr>
        <a:xfrm>
          <a:off x="1860550" y="146050"/>
          <a:ext cx="5099958" cy="908050"/>
          <a:chOff x="830944" y="517072"/>
          <a:chExt cx="5168189" cy="110934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7F0B013A-4B3A-4111-BDFF-539AC5349D8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0944" y="521608"/>
            <a:ext cx="1291771" cy="918622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20FDB190-4517-47B9-8128-D5977B6D2FC7}"/>
              </a:ext>
            </a:extLst>
          </xdr:cNvPr>
          <xdr:cNvSpPr/>
        </xdr:nvSpPr>
        <xdr:spPr>
          <a:xfrm>
            <a:off x="2297991" y="517072"/>
            <a:ext cx="3701142" cy="1109341"/>
          </a:xfrm>
          <a:prstGeom prst="roundRect">
            <a:avLst/>
          </a:prstGeom>
          <a:solidFill>
            <a:schemeClr val="accent6">
              <a:lumMod val="50000"/>
            </a:schemeClr>
          </a:solidFill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400">
                <a:solidFill>
                  <a:schemeClr val="bg1"/>
                </a:solidFill>
                <a:latin typeface="Algerian" panose="04020705040A02060702" pitchFamily="82" charset="0"/>
              </a:rPr>
              <a:t>IOTBTECH academy</a:t>
            </a:r>
          </a:p>
          <a:p>
            <a:pPr algn="ctr"/>
            <a:r>
              <a:rPr lang="en-US" sz="1200">
                <a:solidFill>
                  <a:schemeClr val="bg1"/>
                </a:solidFill>
                <a:latin typeface="Algerian" panose="04020705040A02060702" pitchFamily="82" charset="0"/>
              </a:rPr>
              <a:t>Lagos, nIGERIA</a:t>
            </a:r>
            <a:endParaRPr lang="en-US" sz="300">
              <a:solidFill>
                <a:schemeClr val="bg1"/>
              </a:solidFill>
              <a:latin typeface="Algerian" panose="04020705040A02060702" pitchFamily="82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476250</xdr:colOff>
      <xdr:row>0</xdr:row>
      <xdr:rowOff>152400</xdr:rowOff>
    </xdr:from>
    <xdr:to>
      <xdr:col>6</xdr:col>
      <xdr:colOff>153308</xdr:colOff>
      <xdr:row>6</xdr:row>
      <xdr:rowOff>107950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55B2FF80-61D2-4FDB-BECB-3C81E5458A65}"/>
            </a:ext>
          </a:extLst>
        </xdr:cNvPr>
        <xdr:cNvGrpSpPr/>
      </xdr:nvGrpSpPr>
      <xdr:grpSpPr>
        <a:xfrm>
          <a:off x="419100" y="152400"/>
          <a:ext cx="5394779" cy="935264"/>
          <a:chOff x="830944" y="517072"/>
          <a:chExt cx="5168189" cy="1109341"/>
        </a:xfrm>
      </xdr:grpSpPr>
      <xdr:pic>
        <xdr:nvPicPr>
          <xdr:cNvPr id="7" name="Picture 6">
            <a:extLst>
              <a:ext uri="{FF2B5EF4-FFF2-40B4-BE49-F238E27FC236}">
                <a16:creationId xmlns:a16="http://schemas.microsoft.com/office/drawing/2014/main" id="{3B9F4B1A-D71F-491F-92E4-2384BB0765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830944" y="521608"/>
            <a:ext cx="1291771" cy="987523"/>
          </a:xfrm>
          <a:prstGeom prst="rect">
            <a:avLst/>
          </a:prstGeom>
        </xdr:spPr>
      </xdr:pic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83DBA132-6E84-4786-B697-219EEE1410C6}"/>
              </a:ext>
            </a:extLst>
          </xdr:cNvPr>
          <xdr:cNvSpPr/>
        </xdr:nvSpPr>
        <xdr:spPr>
          <a:xfrm>
            <a:off x="2297991" y="517072"/>
            <a:ext cx="3701142" cy="1109341"/>
          </a:xfrm>
          <a:prstGeom prst="roundRect">
            <a:avLst/>
          </a:prstGeom>
          <a:solidFill>
            <a:schemeClr val="accent6">
              <a:lumMod val="50000"/>
            </a:schemeClr>
          </a:solidFill>
          <a:ln>
            <a:solidFill>
              <a:schemeClr val="accent6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400">
                <a:solidFill>
                  <a:schemeClr val="bg1"/>
                </a:solidFill>
                <a:latin typeface="Algerian" panose="04020705040A02060702" pitchFamily="82" charset="0"/>
              </a:rPr>
              <a:t>IOTBTECH academy</a:t>
            </a:r>
          </a:p>
          <a:p>
            <a:pPr algn="ctr"/>
            <a:r>
              <a:rPr lang="en-US" sz="1200">
                <a:solidFill>
                  <a:schemeClr val="bg1"/>
                </a:solidFill>
                <a:latin typeface="Algerian" panose="04020705040A02060702" pitchFamily="82" charset="0"/>
              </a:rPr>
              <a:t>Lagos, nIGERIA</a:t>
            </a:r>
            <a:endParaRPr lang="en-US" sz="300">
              <a:solidFill>
                <a:schemeClr val="bg1"/>
              </a:solidFill>
              <a:latin typeface="Algerian" panose="04020705040A02060702" pitchFamily="82" charset="0"/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idix/Downloads/Student_Report_Card_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shboard"/>
    </sheetNames>
    <sheetDataSet>
      <sheetData sheetId="0">
        <row r="1">
          <cell r="D1" t="str">
            <v>MATHS</v>
          </cell>
        </row>
        <row r="2">
          <cell r="A2" t="str">
            <v>IKT34</v>
          </cell>
          <cell r="D2">
            <v>78</v>
          </cell>
        </row>
        <row r="3">
          <cell r="A3" t="str">
            <v>IKT02</v>
          </cell>
          <cell r="D3">
            <v>55</v>
          </cell>
        </row>
        <row r="4">
          <cell r="A4" t="str">
            <v>IKT89</v>
          </cell>
          <cell r="D4">
            <v>85</v>
          </cell>
        </row>
        <row r="5">
          <cell r="A5" t="str">
            <v>IKT11</v>
          </cell>
          <cell r="D5">
            <v>90</v>
          </cell>
        </row>
        <row r="6">
          <cell r="A6" t="str">
            <v>IKT53</v>
          </cell>
          <cell r="D6">
            <v>62</v>
          </cell>
        </row>
        <row r="7">
          <cell r="A7" t="str">
            <v>IKT27</v>
          </cell>
          <cell r="D7">
            <v>71</v>
          </cell>
        </row>
        <row r="8">
          <cell r="A8" t="str">
            <v>IKT75</v>
          </cell>
          <cell r="D8">
            <v>44</v>
          </cell>
        </row>
        <row r="9">
          <cell r="A9" t="str">
            <v>IKT20</v>
          </cell>
          <cell r="D9">
            <v>44</v>
          </cell>
        </row>
        <row r="10">
          <cell r="A10" t="str">
            <v>IKT61</v>
          </cell>
          <cell r="D10">
            <v>73</v>
          </cell>
        </row>
        <row r="11">
          <cell r="A11" t="str">
            <v>IKT08</v>
          </cell>
          <cell r="D11">
            <v>44</v>
          </cell>
        </row>
        <row r="12">
          <cell r="A12" t="str">
            <v>IKT44</v>
          </cell>
          <cell r="D12">
            <v>56</v>
          </cell>
        </row>
        <row r="13">
          <cell r="A13" t="str">
            <v>IKT92</v>
          </cell>
          <cell r="D13">
            <v>75</v>
          </cell>
        </row>
        <row r="14">
          <cell r="A14" t="str">
            <v>IKT36</v>
          </cell>
          <cell r="D14">
            <v>66</v>
          </cell>
        </row>
        <row r="15">
          <cell r="A15" t="str">
            <v>IKT14</v>
          </cell>
          <cell r="D15">
            <v>55</v>
          </cell>
        </row>
      </sheetData>
      <sheetData sheetId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8"/>
  <sheetViews>
    <sheetView zoomScale="90" zoomScaleNormal="90" workbookViewId="0">
      <pane ySplit="1" topLeftCell="A20" activePane="bottomLeft" state="frozen"/>
      <selection pane="bottomLeft" activeCell="N39" sqref="N39"/>
    </sheetView>
  </sheetViews>
  <sheetFormatPr defaultColWidth="12.6328125" defaultRowHeight="15.75" customHeight="1"/>
  <cols>
    <col min="2" max="2" width="14.90625" customWidth="1"/>
    <col min="12" max="12" width="17.90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95</v>
      </c>
      <c r="L1" s="1" t="s">
        <v>93</v>
      </c>
      <c r="M1" s="1" t="s">
        <v>98</v>
      </c>
      <c r="N1" s="8" t="s">
        <v>99</v>
      </c>
    </row>
    <row r="2" spans="1:14">
      <c r="A2" s="2" t="s">
        <v>10</v>
      </c>
      <c r="B2" s="2" t="s">
        <v>11</v>
      </c>
      <c r="C2" s="2" t="s">
        <v>12</v>
      </c>
      <c r="D2" s="2">
        <v>78</v>
      </c>
      <c r="E2" s="2">
        <v>65</v>
      </c>
      <c r="F2" s="3">
        <v>44</v>
      </c>
      <c r="G2" s="2">
        <v>74</v>
      </c>
      <c r="H2" s="2">
        <v>69</v>
      </c>
      <c r="I2" s="2">
        <v>55</v>
      </c>
      <c r="J2" s="2">
        <v>60</v>
      </c>
      <c r="K2" s="2">
        <f>SUM(D2:J2)</f>
        <v>445</v>
      </c>
      <c r="L2" s="7">
        <f>AVERAGE(D2:J2)</f>
        <v>63.571428571428569</v>
      </c>
      <c r="M2">
        <f>RANK(L2,$L$2:$L$31,0)</f>
        <v>24</v>
      </c>
      <c r="N2" t="str">
        <f>IF(L2&gt;=79,"A",IF(L2&gt;=69,"B",IF(L2&gt;=59,"C",IF(L2&gt;=49,"D",IF(L2&gt;=39,"E")))))</f>
        <v>C</v>
      </c>
    </row>
    <row r="3" spans="1:14">
      <c r="A3" s="2" t="s">
        <v>13</v>
      </c>
      <c r="B3" s="2" t="s">
        <v>14</v>
      </c>
      <c r="C3" s="2" t="s">
        <v>15</v>
      </c>
      <c r="D3" s="2">
        <v>55</v>
      </c>
      <c r="E3" s="2">
        <v>60</v>
      </c>
      <c r="F3" s="2">
        <v>48</v>
      </c>
      <c r="G3" s="2">
        <v>52</v>
      </c>
      <c r="H3" s="2">
        <v>72</v>
      </c>
      <c r="I3" s="2">
        <v>67</v>
      </c>
      <c r="J3" s="2">
        <v>58</v>
      </c>
      <c r="K3" s="2">
        <f>SUM(D3:J3)</f>
        <v>412</v>
      </c>
      <c r="L3" s="7">
        <f>AVERAGE(D3:J3)</f>
        <v>58.857142857142854</v>
      </c>
      <c r="M3">
        <f>RANK(L3,$L$2:$L$31,0)</f>
        <v>30</v>
      </c>
      <c r="N3" t="str">
        <f>IF(L3&gt;=79,"A",IF(L3&gt;=69,"B",IF(L3&gt;=59,"C",IF(L3&gt;=49,"D",IF(L3&gt;=39,"E")))))</f>
        <v>D</v>
      </c>
    </row>
    <row r="4" spans="1:14">
      <c r="A4" s="2" t="s">
        <v>16</v>
      </c>
      <c r="B4" s="2" t="s">
        <v>17</v>
      </c>
      <c r="C4" s="2" t="s">
        <v>18</v>
      </c>
      <c r="D4" s="2">
        <v>85</v>
      </c>
      <c r="E4" s="2">
        <v>79</v>
      </c>
      <c r="F4" s="2">
        <v>74</v>
      </c>
      <c r="G4" s="2">
        <v>88</v>
      </c>
      <c r="H4" s="2">
        <v>81</v>
      </c>
      <c r="I4" s="2">
        <v>70</v>
      </c>
      <c r="J4" s="2">
        <v>72</v>
      </c>
      <c r="K4" s="2">
        <f>SUM(D4:J4)</f>
        <v>549</v>
      </c>
      <c r="L4" s="7">
        <f>AVERAGE(D4:J4)</f>
        <v>78.428571428571431</v>
      </c>
      <c r="M4">
        <f>RANK(L4,$L$2:$L$31,0)</f>
        <v>1</v>
      </c>
      <c r="N4" t="str">
        <f>IF(L4&gt;=79,"A",IF(L4&gt;=69,"B",IF(L4&gt;=59,"C",IF(L4&gt;=49,"D",IF(L4&gt;=39,"E")))))</f>
        <v>B</v>
      </c>
    </row>
    <row r="5" spans="1:14">
      <c r="A5" s="2" t="s">
        <v>19</v>
      </c>
      <c r="B5" s="2" t="s">
        <v>20</v>
      </c>
      <c r="C5" s="2" t="s">
        <v>21</v>
      </c>
      <c r="D5" s="2">
        <v>90</v>
      </c>
      <c r="E5" s="2">
        <v>76</v>
      </c>
      <c r="F5" s="2">
        <v>88</v>
      </c>
      <c r="G5" s="3">
        <v>55</v>
      </c>
      <c r="H5" s="2">
        <v>84</v>
      </c>
      <c r="I5" s="2">
        <v>73</v>
      </c>
      <c r="J5" s="2">
        <v>75</v>
      </c>
      <c r="K5" s="2">
        <f>SUM(D5:J5)</f>
        <v>541</v>
      </c>
      <c r="L5" s="7">
        <f>AVERAGE(D5:J5)</f>
        <v>77.285714285714292</v>
      </c>
      <c r="M5">
        <f>RANK(L5,$L$2:$L$31,0)</f>
        <v>3</v>
      </c>
      <c r="N5" t="str">
        <f>IF(L5&gt;=79,"A",IF(L5&gt;=69,"B",IF(L5&gt;=59,"C",IF(L5&gt;=49,"D",IF(L5&gt;=39,"E")))))</f>
        <v>B</v>
      </c>
    </row>
    <row r="6" spans="1:14">
      <c r="A6" s="2" t="s">
        <v>22</v>
      </c>
      <c r="B6" s="2" t="s">
        <v>23</v>
      </c>
      <c r="C6" s="2" t="s">
        <v>24</v>
      </c>
      <c r="D6" s="2">
        <v>62</v>
      </c>
      <c r="E6" s="2">
        <v>70</v>
      </c>
      <c r="F6" s="2">
        <v>58</v>
      </c>
      <c r="G6" s="2">
        <v>60</v>
      </c>
      <c r="H6" s="2">
        <v>64</v>
      </c>
      <c r="I6" s="2">
        <v>66</v>
      </c>
      <c r="J6" s="2">
        <v>59</v>
      </c>
      <c r="K6" s="2">
        <f>SUM(D6:J6)</f>
        <v>439</v>
      </c>
      <c r="L6" s="7">
        <f>AVERAGE(D6:J6)</f>
        <v>62.714285714285715</v>
      </c>
      <c r="M6">
        <f>RANK(L6,$L$2:$L$31,0)</f>
        <v>26</v>
      </c>
      <c r="N6" t="str">
        <f>IF(L6&gt;=79,"A",IF(L6&gt;=69,"B",IF(L6&gt;=59,"C",IF(L6&gt;=49,"D",IF(L6&gt;=39,"E")))))</f>
        <v>C</v>
      </c>
    </row>
    <row r="7" spans="1:14">
      <c r="A7" s="2" t="s">
        <v>25</v>
      </c>
      <c r="B7" s="2" t="s">
        <v>26</v>
      </c>
      <c r="C7" s="2" t="s">
        <v>27</v>
      </c>
      <c r="D7" s="2">
        <v>71</v>
      </c>
      <c r="E7" s="2">
        <v>68</v>
      </c>
      <c r="F7" s="2">
        <v>72</v>
      </c>
      <c r="G7" s="2">
        <v>65</v>
      </c>
      <c r="H7" s="2">
        <v>60</v>
      </c>
      <c r="I7" s="2">
        <v>75</v>
      </c>
      <c r="J7" s="3">
        <v>44</v>
      </c>
      <c r="K7" s="2">
        <f>SUM(D7:J7)</f>
        <v>455</v>
      </c>
      <c r="L7" s="7">
        <f>AVERAGE(D7:J7)</f>
        <v>65</v>
      </c>
      <c r="M7">
        <f>RANK(L7,$L$2:$L$31,0)</f>
        <v>23</v>
      </c>
      <c r="N7" t="str">
        <f>IF(L7&gt;=79,"A",IF(L7&gt;=69,"B",IF(L7&gt;=59,"C",IF(L7&gt;=49,"D",IF(L7&gt;=39,"E")))))</f>
        <v>C</v>
      </c>
    </row>
    <row r="8" spans="1:14">
      <c r="A8" s="2" t="s">
        <v>28</v>
      </c>
      <c r="B8" s="2" t="s">
        <v>29</v>
      </c>
      <c r="C8" s="2" t="s">
        <v>30</v>
      </c>
      <c r="D8" s="3">
        <v>44</v>
      </c>
      <c r="E8" s="2">
        <v>74</v>
      </c>
      <c r="F8" s="2">
        <v>78</v>
      </c>
      <c r="G8" s="2">
        <v>82</v>
      </c>
      <c r="H8" s="2">
        <v>77</v>
      </c>
      <c r="I8" s="2">
        <v>69</v>
      </c>
      <c r="J8" s="2">
        <v>70</v>
      </c>
      <c r="K8" s="2">
        <f>SUM(D8:J8)</f>
        <v>494</v>
      </c>
      <c r="L8" s="7">
        <f>AVERAGE(D8:J8)</f>
        <v>70.571428571428569</v>
      </c>
      <c r="M8">
        <f>RANK(L8,$L$2:$L$31,0)</f>
        <v>13</v>
      </c>
      <c r="N8" t="str">
        <f>IF(L8&gt;=79,"A",IF(L8&gt;=69,"B",IF(L8&gt;=59,"C",IF(L8&gt;=49,"D",IF(L8&gt;=39,"E")))))</f>
        <v>B</v>
      </c>
    </row>
    <row r="9" spans="1:14">
      <c r="A9" s="2" t="s">
        <v>31</v>
      </c>
      <c r="B9" s="2" t="s">
        <v>32</v>
      </c>
      <c r="C9" s="2" t="s">
        <v>33</v>
      </c>
      <c r="D9" s="3">
        <v>44</v>
      </c>
      <c r="E9" s="2">
        <v>66</v>
      </c>
      <c r="F9" s="2">
        <v>91</v>
      </c>
      <c r="G9" s="2">
        <v>73</v>
      </c>
      <c r="H9" s="2">
        <v>85</v>
      </c>
      <c r="I9" s="2">
        <v>60</v>
      </c>
      <c r="J9" s="2">
        <v>64</v>
      </c>
      <c r="K9" s="2">
        <f>SUM(D9:J9)</f>
        <v>483</v>
      </c>
      <c r="L9" s="7">
        <f>AVERAGE(D9:J9)</f>
        <v>69</v>
      </c>
      <c r="M9">
        <f>RANK(L9,$L$2:$L$31,0)</f>
        <v>16</v>
      </c>
      <c r="N9" t="str">
        <f>IF(L9&gt;=79,"A",IF(L9&gt;=69,"B",IF(L9&gt;=59,"C",IF(L9&gt;=49,"D",IF(L9&gt;=39,"E")))))</f>
        <v>B</v>
      </c>
    </row>
    <row r="10" spans="1:14">
      <c r="A10" s="2" t="s">
        <v>34</v>
      </c>
      <c r="B10" s="2" t="s">
        <v>35</v>
      </c>
      <c r="C10" s="2" t="s">
        <v>36</v>
      </c>
      <c r="D10" s="2">
        <v>73</v>
      </c>
      <c r="E10" s="2">
        <v>70</v>
      </c>
      <c r="F10" s="2">
        <v>75</v>
      </c>
      <c r="G10" s="2">
        <v>68</v>
      </c>
      <c r="H10" s="2">
        <v>80</v>
      </c>
      <c r="I10" s="2">
        <v>65</v>
      </c>
      <c r="J10" s="2">
        <v>69</v>
      </c>
      <c r="K10" s="2">
        <f>SUM(D10:J10)</f>
        <v>500</v>
      </c>
      <c r="L10" s="7">
        <f>AVERAGE(D10:J10)</f>
        <v>71.428571428571431</v>
      </c>
      <c r="M10">
        <f>RANK(L10,$L$2:$L$31,0)</f>
        <v>9</v>
      </c>
      <c r="N10" t="str">
        <f>IF(L10&gt;=79,"A",IF(L10&gt;=69,"B",IF(L10&gt;=59,"C",IF(L10&gt;=49,"D",IF(L10&gt;=39,"E")))))</f>
        <v>B</v>
      </c>
    </row>
    <row r="11" spans="1:14">
      <c r="A11" s="2" t="s">
        <v>37</v>
      </c>
      <c r="B11" s="2" t="s">
        <v>38</v>
      </c>
      <c r="C11" s="2" t="s">
        <v>21</v>
      </c>
      <c r="D11" s="3">
        <v>44</v>
      </c>
      <c r="E11" s="2">
        <v>77</v>
      </c>
      <c r="F11" s="3">
        <v>55</v>
      </c>
      <c r="G11" s="2">
        <v>79</v>
      </c>
      <c r="H11" s="2">
        <v>81</v>
      </c>
      <c r="I11" s="2">
        <v>72</v>
      </c>
      <c r="J11" s="2">
        <v>74</v>
      </c>
      <c r="K11" s="2">
        <f>SUM(D11:J11)</f>
        <v>482</v>
      </c>
      <c r="L11" s="7">
        <f>AVERAGE(D11:J11)</f>
        <v>68.857142857142861</v>
      </c>
      <c r="M11">
        <f>RANK(L11,$L$2:$L$31,0)</f>
        <v>17</v>
      </c>
      <c r="N11" t="str">
        <f>IF(L11&gt;=79,"A",IF(L11&gt;=69,"B",IF(L11&gt;=59,"C",IF(L11&gt;=49,"D",IF(L11&gt;=39,"E")))))</f>
        <v>C</v>
      </c>
    </row>
    <row r="12" spans="1:14">
      <c r="A12" s="2" t="s">
        <v>39</v>
      </c>
      <c r="B12" s="2" t="s">
        <v>40</v>
      </c>
      <c r="C12" s="2" t="s">
        <v>18</v>
      </c>
      <c r="D12" s="3">
        <v>56</v>
      </c>
      <c r="E12" s="2">
        <v>72</v>
      </c>
      <c r="F12" s="2">
        <v>65</v>
      </c>
      <c r="G12" s="2">
        <v>70</v>
      </c>
      <c r="H12" s="2">
        <v>68</v>
      </c>
      <c r="I12" s="2">
        <v>64</v>
      </c>
      <c r="J12" s="2">
        <v>66</v>
      </c>
      <c r="K12" s="2">
        <f>SUM(D12:J12)</f>
        <v>461</v>
      </c>
      <c r="L12" s="7">
        <f>AVERAGE(D12:J12)</f>
        <v>65.857142857142861</v>
      </c>
      <c r="M12">
        <f>RANK(L12,$L$2:$L$31,0)</f>
        <v>22</v>
      </c>
      <c r="N12" t="str">
        <f>IF(L12&gt;=79,"A",IF(L12&gt;=69,"B",IF(L12&gt;=59,"C",IF(L12&gt;=49,"D",IF(L12&gt;=39,"E")))))</f>
        <v>C</v>
      </c>
    </row>
    <row r="13" spans="1:14">
      <c r="A13" s="2" t="s">
        <v>41</v>
      </c>
      <c r="B13" s="2" t="s">
        <v>42</v>
      </c>
      <c r="C13" s="2" t="s">
        <v>12</v>
      </c>
      <c r="D13" s="2">
        <v>75</v>
      </c>
      <c r="E13" s="2">
        <v>71</v>
      </c>
      <c r="F13" s="3">
        <v>66</v>
      </c>
      <c r="G13" s="2">
        <v>74</v>
      </c>
      <c r="H13" s="2">
        <v>72</v>
      </c>
      <c r="I13" s="2">
        <v>69</v>
      </c>
      <c r="J13" s="2">
        <v>70</v>
      </c>
      <c r="K13" s="2">
        <f>SUM(D13:J13)</f>
        <v>497</v>
      </c>
      <c r="L13" s="7">
        <f>AVERAGE(D13:J13)</f>
        <v>71</v>
      </c>
      <c r="M13">
        <f>RANK(L13,$L$2:$L$31,0)</f>
        <v>12</v>
      </c>
      <c r="N13" t="str">
        <f>IF(L13&gt;=79,"A",IF(L13&gt;=69,"B",IF(L13&gt;=59,"C",IF(L13&gt;=49,"D",IF(L13&gt;=39,"E")))))</f>
        <v>B</v>
      </c>
    </row>
    <row r="14" spans="1:14">
      <c r="A14" s="2" t="s">
        <v>43</v>
      </c>
      <c r="B14" s="2" t="s">
        <v>44</v>
      </c>
      <c r="C14" s="2" t="s">
        <v>45</v>
      </c>
      <c r="D14" s="2">
        <v>66</v>
      </c>
      <c r="E14" s="2">
        <v>68</v>
      </c>
      <c r="F14" s="2">
        <v>62</v>
      </c>
      <c r="G14" s="2">
        <v>64</v>
      </c>
      <c r="H14" s="2">
        <v>65</v>
      </c>
      <c r="I14" s="2">
        <v>78</v>
      </c>
      <c r="J14" s="2">
        <v>72</v>
      </c>
      <c r="K14" s="2">
        <f>SUM(D14:J14)</f>
        <v>475</v>
      </c>
      <c r="L14" s="7">
        <f>AVERAGE(D14:J14)</f>
        <v>67.857142857142861</v>
      </c>
      <c r="M14">
        <f>RANK(L14,$L$2:$L$31,0)</f>
        <v>18</v>
      </c>
      <c r="N14" t="str">
        <f>IF(L14&gt;=79,"A",IF(L14&gt;=69,"B",IF(L14&gt;=59,"C",IF(L14&gt;=49,"D",IF(L14&gt;=39,"E")))))</f>
        <v>C</v>
      </c>
    </row>
    <row r="15" spans="1:14">
      <c r="A15" s="2" t="s">
        <v>46</v>
      </c>
      <c r="B15" s="2" t="s">
        <v>47</v>
      </c>
      <c r="C15" s="2" t="s">
        <v>48</v>
      </c>
      <c r="D15" s="3">
        <v>55</v>
      </c>
      <c r="E15" s="2">
        <v>73</v>
      </c>
      <c r="F15" s="2">
        <v>76</v>
      </c>
      <c r="G15" s="2">
        <v>68</v>
      </c>
      <c r="H15" s="2">
        <v>74</v>
      </c>
      <c r="I15" s="2">
        <v>60</v>
      </c>
      <c r="J15" s="2">
        <v>82</v>
      </c>
      <c r="K15" s="2">
        <f>SUM(D15:J15)</f>
        <v>488</v>
      </c>
      <c r="L15" s="7">
        <f>AVERAGE(D15:J15)</f>
        <v>69.714285714285708</v>
      </c>
      <c r="M15">
        <f>RANK(L15,$L$2:$L$31,0)</f>
        <v>14</v>
      </c>
      <c r="N15" t="str">
        <f>IF(L15&gt;=79,"A",IF(L15&gt;=69,"B",IF(L15&gt;=59,"C",IF(L15&gt;=49,"D",IF(L15&gt;=39,"E")))))</f>
        <v>B</v>
      </c>
    </row>
    <row r="16" spans="1:14">
      <c r="A16" s="2" t="s">
        <v>49</v>
      </c>
      <c r="B16" s="2" t="s">
        <v>50</v>
      </c>
      <c r="C16" s="2" t="s">
        <v>15</v>
      </c>
      <c r="D16" s="2">
        <v>72</v>
      </c>
      <c r="E16" s="2">
        <v>65</v>
      </c>
      <c r="F16" s="2">
        <v>60</v>
      </c>
      <c r="G16" s="2">
        <v>58</v>
      </c>
      <c r="H16" s="2">
        <v>69</v>
      </c>
      <c r="I16" s="2">
        <v>70</v>
      </c>
      <c r="J16" s="3">
        <v>44</v>
      </c>
      <c r="K16" s="2">
        <f>SUM(D16:J16)</f>
        <v>438</v>
      </c>
      <c r="L16" s="7">
        <f>AVERAGE(D16:J16)</f>
        <v>62.571428571428569</v>
      </c>
      <c r="M16">
        <f>RANK(L16,$L$2:$L$31,0)</f>
        <v>27</v>
      </c>
      <c r="N16" t="str">
        <f>IF(L16&gt;=79,"A",IF(L16&gt;=69,"B",IF(L16&gt;=59,"C",IF(L16&gt;=49,"D",IF(L16&gt;=39,"E")))))</f>
        <v>C</v>
      </c>
    </row>
    <row r="17" spans="1:14">
      <c r="A17" s="2" t="s">
        <v>51</v>
      </c>
      <c r="B17" s="2" t="s">
        <v>52</v>
      </c>
      <c r="C17" s="2" t="s">
        <v>24</v>
      </c>
      <c r="D17" s="2">
        <v>68</v>
      </c>
      <c r="E17" s="2">
        <v>72</v>
      </c>
      <c r="F17" s="2">
        <v>70</v>
      </c>
      <c r="G17" s="2">
        <v>66</v>
      </c>
      <c r="H17" s="2">
        <v>71</v>
      </c>
      <c r="I17" s="2">
        <v>63</v>
      </c>
      <c r="J17" s="2">
        <v>60</v>
      </c>
      <c r="K17" s="2">
        <f>SUM(D17:J17)</f>
        <v>470</v>
      </c>
      <c r="L17" s="7">
        <f>AVERAGE(D17:J17)</f>
        <v>67.142857142857139</v>
      </c>
      <c r="M17">
        <f>RANK(L17,$L$2:$L$31,0)</f>
        <v>20</v>
      </c>
      <c r="N17" t="str">
        <f>IF(L17&gt;=79,"A",IF(L17&gt;=69,"B",IF(L17&gt;=59,"C",IF(L17&gt;=49,"D",IF(L17&gt;=39,"E")))))</f>
        <v>C</v>
      </c>
    </row>
    <row r="18" spans="1:14">
      <c r="A18" s="2" t="s">
        <v>53</v>
      </c>
      <c r="B18" s="2" t="s">
        <v>54</v>
      </c>
      <c r="C18" s="2" t="s">
        <v>45</v>
      </c>
      <c r="D18" s="2">
        <v>64</v>
      </c>
      <c r="E18" s="2">
        <v>66</v>
      </c>
      <c r="F18" s="3">
        <v>55</v>
      </c>
      <c r="G18" s="2">
        <v>65</v>
      </c>
      <c r="H18" s="2">
        <v>68</v>
      </c>
      <c r="I18" s="2">
        <v>74</v>
      </c>
      <c r="J18" s="2">
        <v>70</v>
      </c>
      <c r="K18" s="2">
        <f>SUM(D18:J18)</f>
        <v>462</v>
      </c>
      <c r="L18" s="7">
        <f>AVERAGE(D18:J18)</f>
        <v>66</v>
      </c>
      <c r="M18">
        <f>RANK(L18,$L$2:$L$31,0)</f>
        <v>21</v>
      </c>
      <c r="N18" t="str">
        <f>IF(L18&gt;=79,"A",IF(L18&gt;=69,"B",IF(L18&gt;=59,"C",IF(L18&gt;=49,"D",IF(L18&gt;=39,"E")))))</f>
        <v>C</v>
      </c>
    </row>
    <row r="19" spans="1:14">
      <c r="A19" s="2" t="s">
        <v>55</v>
      </c>
      <c r="B19" s="2" t="s">
        <v>56</v>
      </c>
      <c r="C19" s="2" t="s">
        <v>33</v>
      </c>
      <c r="D19" s="2">
        <v>77</v>
      </c>
      <c r="E19" s="3">
        <v>55</v>
      </c>
      <c r="F19" s="2">
        <v>85</v>
      </c>
      <c r="G19" s="2">
        <v>70</v>
      </c>
      <c r="H19" s="2">
        <v>80</v>
      </c>
      <c r="I19" s="2">
        <v>66</v>
      </c>
      <c r="J19" s="2">
        <v>68</v>
      </c>
      <c r="K19" s="2">
        <f>SUM(D19:J19)</f>
        <v>501</v>
      </c>
      <c r="L19" s="7">
        <f>AVERAGE(D19:J19)</f>
        <v>71.571428571428569</v>
      </c>
      <c r="M19">
        <f>RANK(L19,$L$2:$L$31,0)</f>
        <v>8</v>
      </c>
      <c r="N19" t="str">
        <f>IF(L19&gt;=79,"A",IF(L19&gt;=69,"B",IF(L19&gt;=59,"C",IF(L19&gt;=49,"D",IF(L19&gt;=39,"E")))))</f>
        <v>B</v>
      </c>
    </row>
    <row r="20" spans="1:14">
      <c r="A20" s="2" t="s">
        <v>57</v>
      </c>
      <c r="B20" s="2" t="s">
        <v>58</v>
      </c>
      <c r="C20" s="2" t="s">
        <v>30</v>
      </c>
      <c r="D20" s="2">
        <v>73</v>
      </c>
      <c r="E20" s="2">
        <v>75</v>
      </c>
      <c r="F20" s="2">
        <v>70</v>
      </c>
      <c r="G20" s="2">
        <v>76</v>
      </c>
      <c r="H20" s="2">
        <v>72</v>
      </c>
      <c r="I20" s="2">
        <v>65</v>
      </c>
      <c r="J20" s="2">
        <v>67</v>
      </c>
      <c r="K20" s="2">
        <f>SUM(D20:J20)</f>
        <v>498</v>
      </c>
      <c r="L20" s="7">
        <f>AVERAGE(D20:J20)</f>
        <v>71.142857142857139</v>
      </c>
      <c r="M20">
        <f>RANK(L20,$L$2:$L$31,0)</f>
        <v>11</v>
      </c>
      <c r="N20" t="str">
        <f>IF(L20&gt;=79,"A",IF(L20&gt;=69,"B",IF(L20&gt;=59,"C",IF(L20&gt;=49,"D",IF(L20&gt;=39,"E")))))</f>
        <v>B</v>
      </c>
    </row>
    <row r="21" spans="1:14">
      <c r="A21" s="2" t="s">
        <v>59</v>
      </c>
      <c r="B21" s="2" t="s">
        <v>60</v>
      </c>
      <c r="C21" s="2" t="s">
        <v>21</v>
      </c>
      <c r="D21" s="3">
        <v>55</v>
      </c>
      <c r="E21" s="2">
        <v>78</v>
      </c>
      <c r="F21" s="3">
        <v>25</v>
      </c>
      <c r="G21" s="2">
        <v>82</v>
      </c>
      <c r="H21" s="3">
        <v>22</v>
      </c>
      <c r="I21" s="2">
        <v>80</v>
      </c>
      <c r="J21" s="2">
        <v>79</v>
      </c>
      <c r="K21" s="2">
        <f>SUM(D21:J21)</f>
        <v>421</v>
      </c>
      <c r="L21" s="7">
        <f>AVERAGE(D21:J21)</f>
        <v>60.142857142857146</v>
      </c>
      <c r="M21">
        <f>RANK(L21,$L$2:$L$31,0)</f>
        <v>29</v>
      </c>
      <c r="N21" t="str">
        <f>IF(L21&gt;=79,"A",IF(L21&gt;=69,"B",IF(L21&gt;=59,"C",IF(L21&gt;=49,"D",IF(L21&gt;=39,"E")))))</f>
        <v>C</v>
      </c>
    </row>
    <row r="22" spans="1:14">
      <c r="A22" s="2" t="s">
        <v>61</v>
      </c>
      <c r="B22" s="2" t="s">
        <v>62</v>
      </c>
      <c r="C22" s="2" t="s">
        <v>18</v>
      </c>
      <c r="D22" s="2">
        <v>74</v>
      </c>
      <c r="E22" s="2">
        <v>76</v>
      </c>
      <c r="F22" s="2">
        <v>72</v>
      </c>
      <c r="G22" s="2">
        <v>78</v>
      </c>
      <c r="H22" s="2">
        <v>75</v>
      </c>
      <c r="I22" s="2">
        <v>68</v>
      </c>
      <c r="J22" s="2">
        <v>70</v>
      </c>
      <c r="K22" s="2">
        <f>SUM(D22:J22)</f>
        <v>513</v>
      </c>
      <c r="L22" s="7">
        <f>AVERAGE(D22:J22)</f>
        <v>73.285714285714292</v>
      </c>
      <c r="M22">
        <f>RANK(L22,$L$2:$L$31,0)</f>
        <v>6</v>
      </c>
      <c r="N22" t="str">
        <f>IF(L22&gt;=79,"A",IF(L22&gt;=69,"B",IF(L22&gt;=59,"C",IF(L22&gt;=49,"D",IF(L22&gt;=39,"E")))))</f>
        <v>B</v>
      </c>
    </row>
    <row r="23" spans="1:14">
      <c r="A23" s="2" t="s">
        <v>63</v>
      </c>
      <c r="B23" s="2" t="s">
        <v>64</v>
      </c>
      <c r="C23" s="2" t="s">
        <v>27</v>
      </c>
      <c r="D23" s="2">
        <v>69</v>
      </c>
      <c r="E23" s="2">
        <v>70</v>
      </c>
      <c r="F23" s="2">
        <v>68</v>
      </c>
      <c r="G23" s="2">
        <v>66</v>
      </c>
      <c r="H23" s="2">
        <v>72</v>
      </c>
      <c r="I23" s="2">
        <v>74</v>
      </c>
      <c r="J23" s="2">
        <v>81</v>
      </c>
      <c r="K23" s="2">
        <f>SUM(D23:J23)</f>
        <v>500</v>
      </c>
      <c r="L23" s="7">
        <f>AVERAGE(D23:J23)</f>
        <v>71.428571428571431</v>
      </c>
      <c r="M23">
        <f>RANK(L23,$L$2:$L$31,0)</f>
        <v>9</v>
      </c>
      <c r="N23" t="str">
        <f>IF(L23&gt;=79,"A",IF(L23&gt;=69,"B",IF(L23&gt;=59,"C",IF(L23&gt;=49,"D",IF(L23&gt;=39,"E")))))</f>
        <v>B</v>
      </c>
    </row>
    <row r="24" spans="1:14">
      <c r="A24" s="2" t="s">
        <v>65</v>
      </c>
      <c r="B24" s="2" t="s">
        <v>66</v>
      </c>
      <c r="C24" s="2" t="s">
        <v>12</v>
      </c>
      <c r="D24" s="2">
        <v>82</v>
      </c>
      <c r="E24" s="2">
        <v>79</v>
      </c>
      <c r="F24" s="2">
        <v>84</v>
      </c>
      <c r="G24" s="2">
        <v>80</v>
      </c>
      <c r="H24" s="2">
        <v>78</v>
      </c>
      <c r="I24" s="2">
        <v>72</v>
      </c>
      <c r="J24" s="2">
        <v>73</v>
      </c>
      <c r="K24" s="2">
        <f>SUM(D24:J24)</f>
        <v>548</v>
      </c>
      <c r="L24" s="7">
        <f>AVERAGE(D24:J24)</f>
        <v>78.285714285714292</v>
      </c>
      <c r="M24">
        <f>RANK(L24,$L$2:$L$31,0)</f>
        <v>2</v>
      </c>
      <c r="N24" t="str">
        <f>IF(L24&gt;=79,"A",IF(L24&gt;=69,"B",IF(L24&gt;=59,"C",IF(L24&gt;=49,"D",IF(L24&gt;=39,"E")))))</f>
        <v>B</v>
      </c>
    </row>
    <row r="25" spans="1:14">
      <c r="A25" s="2" t="s">
        <v>67</v>
      </c>
      <c r="B25" s="2" t="s">
        <v>68</v>
      </c>
      <c r="C25" s="2" t="s">
        <v>36</v>
      </c>
      <c r="D25" s="2">
        <v>70</v>
      </c>
      <c r="E25" s="2">
        <v>74</v>
      </c>
      <c r="F25" s="2">
        <v>68</v>
      </c>
      <c r="G25" s="3">
        <v>55</v>
      </c>
      <c r="H25" s="2">
        <v>75</v>
      </c>
      <c r="I25" s="2">
        <v>77</v>
      </c>
      <c r="J25" s="2">
        <v>69</v>
      </c>
      <c r="K25" s="2">
        <f>SUM(D25:J25)</f>
        <v>488</v>
      </c>
      <c r="L25" s="7">
        <f>AVERAGE(D25:J25)</f>
        <v>69.714285714285708</v>
      </c>
      <c r="M25">
        <f>RANK(L25,$L$2:$L$31,0)</f>
        <v>14</v>
      </c>
      <c r="N25" t="str">
        <f>IF(L25&gt;=79,"A",IF(L25&gt;=69,"B",IF(L25&gt;=59,"C",IF(L25&gt;=49,"D",IF(L25&gt;=39,"E")))))</f>
        <v>B</v>
      </c>
    </row>
    <row r="26" spans="1:14">
      <c r="A26" s="2" t="s">
        <v>69</v>
      </c>
      <c r="B26" s="2" t="s">
        <v>70</v>
      </c>
      <c r="C26" s="2" t="s">
        <v>21</v>
      </c>
      <c r="D26" s="3">
        <v>55</v>
      </c>
      <c r="E26" s="2">
        <v>80</v>
      </c>
      <c r="F26" s="2">
        <v>90</v>
      </c>
      <c r="G26" s="2">
        <v>78</v>
      </c>
      <c r="H26" s="2">
        <v>84</v>
      </c>
      <c r="I26" s="2">
        <v>76</v>
      </c>
      <c r="J26" s="2">
        <v>75</v>
      </c>
      <c r="K26" s="2">
        <f>SUM(D26:J26)</f>
        <v>538</v>
      </c>
      <c r="L26" s="7">
        <f>AVERAGE(D26:J26)</f>
        <v>76.857142857142861</v>
      </c>
      <c r="M26">
        <f>RANK(L26,$L$2:$L$31,0)</f>
        <v>5</v>
      </c>
      <c r="N26" t="str">
        <f>IF(L26&gt;=79,"A",IF(L26&gt;=69,"B",IF(L26&gt;=59,"C",IF(L26&gt;=49,"D",IF(L26&gt;=39,"E")))))</f>
        <v>B</v>
      </c>
    </row>
    <row r="27" spans="1:14">
      <c r="A27" s="2" t="s">
        <v>71</v>
      </c>
      <c r="B27" s="2" t="s">
        <v>72</v>
      </c>
      <c r="C27" s="2" t="s">
        <v>15</v>
      </c>
      <c r="D27" s="2">
        <v>65</v>
      </c>
      <c r="E27" s="2">
        <v>70</v>
      </c>
      <c r="F27" s="2">
        <v>60</v>
      </c>
      <c r="G27" s="2">
        <v>62</v>
      </c>
      <c r="H27" s="2">
        <v>68</v>
      </c>
      <c r="I27" s="3">
        <v>55</v>
      </c>
      <c r="J27" s="2">
        <v>64</v>
      </c>
      <c r="K27" s="2">
        <f>SUM(D27:J27)</f>
        <v>444</v>
      </c>
      <c r="L27" s="7">
        <f>AVERAGE(D27:J27)</f>
        <v>63.428571428571431</v>
      </c>
      <c r="M27">
        <f>RANK(L27,$L$2:$L$31,0)</f>
        <v>25</v>
      </c>
      <c r="N27" t="str">
        <f>IF(L27&gt;=79,"A",IF(L27&gt;=69,"B",IF(L27&gt;=59,"C",IF(L27&gt;=49,"D",IF(L27&gt;=39,"E")))))</f>
        <v>C</v>
      </c>
    </row>
    <row r="28" spans="1:14">
      <c r="A28" s="2" t="s">
        <v>73</v>
      </c>
      <c r="B28" s="2" t="s">
        <v>74</v>
      </c>
      <c r="C28" s="2" t="s">
        <v>45</v>
      </c>
      <c r="D28" s="3">
        <v>44</v>
      </c>
      <c r="E28" s="2">
        <v>66</v>
      </c>
      <c r="F28" s="2">
        <v>70</v>
      </c>
      <c r="G28" s="2">
        <v>72</v>
      </c>
      <c r="H28" s="3">
        <v>44</v>
      </c>
      <c r="I28" s="3">
        <v>55</v>
      </c>
      <c r="J28" s="2">
        <v>74</v>
      </c>
      <c r="K28" s="2">
        <f>SUM(D28:J28)</f>
        <v>425</v>
      </c>
      <c r="L28" s="7">
        <f>AVERAGE(D28:J28)</f>
        <v>60.714285714285715</v>
      </c>
      <c r="M28">
        <f>RANK(L28,$L$2:$L$31,0)</f>
        <v>28</v>
      </c>
      <c r="N28" t="str">
        <f>IF(L28&gt;=79,"A",IF(L28&gt;=69,"B",IF(L28&gt;=59,"C",IF(L28&gt;=49,"D",IF(L28&gt;=39,"E")))))</f>
        <v>C</v>
      </c>
    </row>
    <row r="29" spans="1:14">
      <c r="A29" s="2" t="s">
        <v>75</v>
      </c>
      <c r="B29" s="2" t="s">
        <v>76</v>
      </c>
      <c r="C29" s="2" t="s">
        <v>18</v>
      </c>
      <c r="D29" s="2">
        <v>75</v>
      </c>
      <c r="E29" s="2">
        <v>78</v>
      </c>
      <c r="F29" s="3">
        <v>55</v>
      </c>
      <c r="G29" s="3">
        <v>44</v>
      </c>
      <c r="H29" s="2">
        <v>77</v>
      </c>
      <c r="I29" s="2">
        <v>70</v>
      </c>
      <c r="J29" s="2">
        <v>72</v>
      </c>
      <c r="K29" s="2">
        <f>SUM(D29:J29)</f>
        <v>471</v>
      </c>
      <c r="L29" s="7">
        <f>AVERAGE(D29:J29)</f>
        <v>67.285714285714292</v>
      </c>
      <c r="M29">
        <f>RANK(L29,$L$2:$L$31,0)</f>
        <v>19</v>
      </c>
      <c r="N29" t="str">
        <f>IF(L29&gt;=79,"A",IF(L29&gt;=69,"B",IF(L29&gt;=59,"C",IF(L29&gt;=49,"D",IF(L29&gt;=39,"E")))))</f>
        <v>C</v>
      </c>
    </row>
    <row r="30" spans="1:14">
      <c r="A30" s="2" t="s">
        <v>77</v>
      </c>
      <c r="B30" s="2" t="s">
        <v>78</v>
      </c>
      <c r="C30" s="2" t="s">
        <v>33</v>
      </c>
      <c r="D30" s="2">
        <v>80</v>
      </c>
      <c r="E30" s="2">
        <v>74</v>
      </c>
      <c r="F30" s="2">
        <v>85</v>
      </c>
      <c r="G30" s="2">
        <v>78</v>
      </c>
      <c r="H30" s="2">
        <v>82</v>
      </c>
      <c r="I30" s="2">
        <v>69</v>
      </c>
      <c r="J30" s="2">
        <v>71</v>
      </c>
      <c r="K30" s="2">
        <f>SUM(D30:J30)</f>
        <v>539</v>
      </c>
      <c r="L30" s="7">
        <f>AVERAGE(D30:J30)</f>
        <v>77</v>
      </c>
      <c r="M30">
        <f>RANK(L30,$L$2:$L$31,0)</f>
        <v>4</v>
      </c>
      <c r="N30" t="str">
        <f>IF(L30&gt;=79,"A",IF(L30&gt;=69,"B",IF(L30&gt;=59,"C",IF(L30&gt;=49,"D",IF(L30&gt;=39,"E")))))</f>
        <v>B</v>
      </c>
    </row>
    <row r="31" spans="1:14">
      <c r="A31" s="2" t="s">
        <v>79</v>
      </c>
      <c r="B31" s="2" t="s">
        <v>80</v>
      </c>
      <c r="C31" s="2" t="s">
        <v>24</v>
      </c>
      <c r="D31" s="2">
        <v>72</v>
      </c>
      <c r="E31" s="2">
        <v>75</v>
      </c>
      <c r="F31" s="2">
        <v>70</v>
      </c>
      <c r="G31" s="2">
        <v>68</v>
      </c>
      <c r="H31" s="2">
        <v>73</v>
      </c>
      <c r="I31" s="2">
        <v>77</v>
      </c>
      <c r="J31" s="2">
        <v>69</v>
      </c>
      <c r="K31" s="2">
        <f>SUM(D31:J31)</f>
        <v>504</v>
      </c>
      <c r="L31" s="7">
        <f>AVERAGE(D31:J31)</f>
        <v>72</v>
      </c>
      <c r="M31">
        <f>RANK(L31,$L$2:$L$31,0)</f>
        <v>7</v>
      </c>
      <c r="N31" t="str">
        <f>IF(L31&gt;=79,"A",IF(L31&gt;=69,"B",IF(L31&gt;=59,"C",IF(L31&gt;=49,"D",IF(L31&gt;=39,"E")))))</f>
        <v>B</v>
      </c>
    </row>
    <row r="33" spans="1:14" ht="15.75" customHeight="1">
      <c r="M33" s="4" t="s">
        <v>87</v>
      </c>
      <c r="N33" s="4"/>
    </row>
    <row r="34" spans="1:14" ht="15.75" customHeight="1">
      <c r="A34" s="18" t="s">
        <v>102</v>
      </c>
      <c r="B34" s="18"/>
      <c r="C34" s="18" t="s">
        <v>103</v>
      </c>
      <c r="D34" s="18"/>
      <c r="E34" s="18" t="s">
        <v>104</v>
      </c>
      <c r="F34" s="18"/>
      <c r="G34" s="18" t="s">
        <v>105</v>
      </c>
      <c r="H34" s="18"/>
      <c r="I34" s="18" t="s">
        <v>106</v>
      </c>
      <c r="J34" s="18"/>
      <c r="K34" s="19"/>
      <c r="M34" s="5" t="s">
        <v>88</v>
      </c>
      <c r="N34" s="6" t="s">
        <v>113</v>
      </c>
    </row>
    <row r="35" spans="1:14" ht="15.75" customHeight="1">
      <c r="M35" s="5" t="s">
        <v>89</v>
      </c>
      <c r="N35" s="6" t="s">
        <v>114</v>
      </c>
    </row>
    <row r="36" spans="1:14" ht="15.75" customHeight="1">
      <c r="M36" s="5" t="s">
        <v>90</v>
      </c>
      <c r="N36" s="6" t="s">
        <v>115</v>
      </c>
    </row>
    <row r="37" spans="1:14" ht="15.75" customHeight="1">
      <c r="M37" s="5" t="s">
        <v>91</v>
      </c>
      <c r="N37" s="6" t="s">
        <v>116</v>
      </c>
    </row>
    <row r="38" spans="1:14" ht="15.75" customHeight="1">
      <c r="M38" s="5" t="s">
        <v>92</v>
      </c>
      <c r="N38" s="6" t="s">
        <v>117</v>
      </c>
    </row>
  </sheetData>
  <mergeCells count="6">
    <mergeCell ref="A34:B34"/>
    <mergeCell ref="C34:D34"/>
    <mergeCell ref="E34:F34"/>
    <mergeCell ref="G34:H34"/>
    <mergeCell ref="I34:J34"/>
    <mergeCell ref="M33:N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851CE-6195-4884-8BED-E16359D23D26}">
  <dimension ref="A8:N41"/>
  <sheetViews>
    <sheetView showGridLines="0" tabSelected="1" workbookViewId="0">
      <selection activeCell="C45" sqref="C45"/>
    </sheetView>
  </sheetViews>
  <sheetFormatPr defaultRowHeight="12.5"/>
  <cols>
    <col min="1" max="1" width="7.6328125" customWidth="1"/>
    <col min="2" max="2" width="13.1796875" bestFit="1" customWidth="1"/>
    <col min="3" max="3" width="15.7265625" bestFit="1" customWidth="1"/>
    <col min="4" max="4" width="17.1796875" bestFit="1" customWidth="1"/>
    <col min="13" max="13" width="12.90625" bestFit="1" customWidth="1"/>
  </cols>
  <sheetData>
    <row r="8" spans="1:14" ht="23">
      <c r="A8" s="24" t="s">
        <v>109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0"/>
    </row>
    <row r="9" spans="1:14">
      <c r="A9" s="27" t="s">
        <v>108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6"/>
    </row>
    <row r="10" spans="1:14" ht="14">
      <c r="A10" s="9" t="s">
        <v>98</v>
      </c>
      <c r="B10" s="9" t="s">
        <v>0</v>
      </c>
      <c r="C10" s="9" t="s">
        <v>1</v>
      </c>
      <c r="D10" s="9" t="s">
        <v>2</v>
      </c>
      <c r="E10" s="9" t="s">
        <v>3</v>
      </c>
      <c r="F10" s="9" t="s">
        <v>4</v>
      </c>
      <c r="G10" s="9" t="s">
        <v>5</v>
      </c>
      <c r="H10" s="9" t="s">
        <v>6</v>
      </c>
      <c r="I10" s="9" t="s">
        <v>7</v>
      </c>
      <c r="J10" s="9" t="s">
        <v>8</v>
      </c>
      <c r="K10" s="9" t="s">
        <v>9</v>
      </c>
      <c r="L10" s="9" t="s">
        <v>95</v>
      </c>
      <c r="M10" s="9" t="s">
        <v>107</v>
      </c>
      <c r="N10" s="10" t="s">
        <v>99</v>
      </c>
    </row>
    <row r="11" spans="1:14" ht="14">
      <c r="A11" s="14">
        <f>RANK(M11,$M$11:$M$40,0)</f>
        <v>1</v>
      </c>
      <c r="B11" s="11" t="s">
        <v>16</v>
      </c>
      <c r="C11" s="9" t="s">
        <v>17</v>
      </c>
      <c r="D11" s="11" t="s">
        <v>18</v>
      </c>
      <c r="E11" s="11">
        <v>85</v>
      </c>
      <c r="F11" s="11">
        <v>79</v>
      </c>
      <c r="G11" s="11">
        <v>74</v>
      </c>
      <c r="H11" s="11">
        <v>88</v>
      </c>
      <c r="I11" s="11">
        <v>81</v>
      </c>
      <c r="J11" s="11">
        <v>70</v>
      </c>
      <c r="K11" s="11">
        <v>72</v>
      </c>
      <c r="L11" s="11">
        <f>SUM(E11:K11)</f>
        <v>549</v>
      </c>
      <c r="M11" s="13">
        <f>AVERAGE(E11:K11)</f>
        <v>78.428571428571431</v>
      </c>
      <c r="N11" s="17" t="str">
        <f>IF(M11&gt;=79,"A",IF(M11&gt;=69,"B",IF(M11&gt;=59,"C",IF(M11&gt;=49,"D",IF(M11&gt;=39,"E")))))</f>
        <v>B</v>
      </c>
    </row>
    <row r="12" spans="1:14" ht="14">
      <c r="A12" s="14">
        <f>RANK(M12,$M$11:$M$40,0)</f>
        <v>2</v>
      </c>
      <c r="B12" s="11" t="s">
        <v>65</v>
      </c>
      <c r="C12" s="9" t="s">
        <v>66</v>
      </c>
      <c r="D12" s="11" t="s">
        <v>12</v>
      </c>
      <c r="E12" s="11">
        <v>82</v>
      </c>
      <c r="F12" s="11">
        <v>79</v>
      </c>
      <c r="G12" s="11">
        <v>84</v>
      </c>
      <c r="H12" s="11">
        <v>80</v>
      </c>
      <c r="I12" s="11">
        <v>78</v>
      </c>
      <c r="J12" s="11">
        <v>72</v>
      </c>
      <c r="K12" s="11">
        <v>73</v>
      </c>
      <c r="L12" s="11">
        <f>SUM(E12:K12)</f>
        <v>548</v>
      </c>
      <c r="M12" s="13">
        <f>AVERAGE(E12:K12)</f>
        <v>78.285714285714292</v>
      </c>
      <c r="N12" s="17" t="str">
        <f>IF(M12&gt;=79,"A",IF(M12&gt;=69,"B",IF(M12&gt;=59,"C",IF(M12&gt;=49,"D",IF(M12&gt;=39,"E")))))</f>
        <v>B</v>
      </c>
    </row>
    <row r="13" spans="1:14" ht="14">
      <c r="A13" s="14">
        <f>RANK(M13,$M$11:$M$40,0)</f>
        <v>3</v>
      </c>
      <c r="B13" s="11" t="s">
        <v>19</v>
      </c>
      <c r="C13" s="9" t="s">
        <v>20</v>
      </c>
      <c r="D13" s="11" t="s">
        <v>21</v>
      </c>
      <c r="E13" s="11">
        <v>90</v>
      </c>
      <c r="F13" s="11">
        <v>76</v>
      </c>
      <c r="G13" s="11">
        <v>88</v>
      </c>
      <c r="H13" s="12">
        <v>55</v>
      </c>
      <c r="I13" s="11">
        <v>84</v>
      </c>
      <c r="J13" s="11">
        <v>73</v>
      </c>
      <c r="K13" s="11">
        <v>75</v>
      </c>
      <c r="L13" s="11">
        <f>SUM(E13:K13)</f>
        <v>541</v>
      </c>
      <c r="M13" s="13">
        <f>AVERAGE(E13:K13)</f>
        <v>77.285714285714292</v>
      </c>
      <c r="N13" s="17" t="str">
        <f>IF(M13&gt;=79,"A",IF(M13&gt;=69,"B",IF(M13&gt;=59,"C",IF(M13&gt;=49,"D",IF(M13&gt;=39,"E")))))</f>
        <v>B</v>
      </c>
    </row>
    <row r="14" spans="1:14" ht="14">
      <c r="A14" s="14">
        <f>RANK(M14,$M$11:$M$40,0)</f>
        <v>4</v>
      </c>
      <c r="B14" s="11" t="s">
        <v>77</v>
      </c>
      <c r="C14" s="9" t="s">
        <v>78</v>
      </c>
      <c r="D14" s="11" t="s">
        <v>33</v>
      </c>
      <c r="E14" s="11">
        <v>80</v>
      </c>
      <c r="F14" s="11">
        <v>74</v>
      </c>
      <c r="G14" s="11">
        <v>85</v>
      </c>
      <c r="H14" s="11">
        <v>78</v>
      </c>
      <c r="I14" s="11">
        <v>82</v>
      </c>
      <c r="J14" s="11">
        <v>69</v>
      </c>
      <c r="K14" s="11">
        <v>71</v>
      </c>
      <c r="L14" s="11">
        <f>SUM(E14:K14)</f>
        <v>539</v>
      </c>
      <c r="M14" s="13">
        <f>AVERAGE(E14:K14)</f>
        <v>77</v>
      </c>
      <c r="N14" s="17" t="str">
        <f>IF(M14&gt;=79,"A",IF(M14&gt;=69,"B",IF(M14&gt;=59,"C",IF(M14&gt;=49,"D",IF(M14&gt;=39,"E")))))</f>
        <v>B</v>
      </c>
    </row>
    <row r="15" spans="1:14" ht="14">
      <c r="A15" s="14">
        <f>RANK(M15,$M$11:$M$40,0)</f>
        <v>5</v>
      </c>
      <c r="B15" s="11" t="s">
        <v>69</v>
      </c>
      <c r="C15" s="9" t="s">
        <v>70</v>
      </c>
      <c r="D15" s="11" t="s">
        <v>21</v>
      </c>
      <c r="E15" s="12">
        <v>55</v>
      </c>
      <c r="F15" s="11">
        <v>80</v>
      </c>
      <c r="G15" s="11">
        <v>90</v>
      </c>
      <c r="H15" s="11">
        <v>78</v>
      </c>
      <c r="I15" s="11">
        <v>84</v>
      </c>
      <c r="J15" s="11">
        <v>76</v>
      </c>
      <c r="K15" s="11">
        <v>75</v>
      </c>
      <c r="L15" s="11">
        <f>SUM(E15:K15)</f>
        <v>538</v>
      </c>
      <c r="M15" s="13">
        <f>AVERAGE(E15:K15)</f>
        <v>76.857142857142861</v>
      </c>
      <c r="N15" s="17" t="str">
        <f>IF(M15&gt;=79,"A",IF(M15&gt;=69,"B",IF(M15&gt;=59,"C",IF(M15&gt;=49,"D",IF(M15&gt;=39,"E")))))</f>
        <v>B</v>
      </c>
    </row>
    <row r="16" spans="1:14" ht="14">
      <c r="A16" s="14">
        <f>RANK(M16,$M$11:$M$40,0)</f>
        <v>6</v>
      </c>
      <c r="B16" s="11" t="s">
        <v>61</v>
      </c>
      <c r="C16" s="9" t="s">
        <v>62</v>
      </c>
      <c r="D16" s="11" t="s">
        <v>18</v>
      </c>
      <c r="E16" s="11">
        <v>74</v>
      </c>
      <c r="F16" s="11">
        <v>76</v>
      </c>
      <c r="G16" s="11">
        <v>72</v>
      </c>
      <c r="H16" s="11">
        <v>78</v>
      </c>
      <c r="I16" s="11">
        <v>75</v>
      </c>
      <c r="J16" s="11">
        <v>68</v>
      </c>
      <c r="K16" s="11">
        <v>70</v>
      </c>
      <c r="L16" s="11">
        <f>SUM(E16:K16)</f>
        <v>513</v>
      </c>
      <c r="M16" s="13">
        <f>AVERAGE(E16:K16)</f>
        <v>73.285714285714292</v>
      </c>
      <c r="N16" s="17" t="str">
        <f>IF(M16&gt;=79,"A",IF(M16&gt;=69,"B",IF(M16&gt;=59,"C",IF(M16&gt;=49,"D",IF(M16&gt;=39,"E")))))</f>
        <v>B</v>
      </c>
    </row>
    <row r="17" spans="1:14" ht="14">
      <c r="A17" s="14">
        <f>RANK(M17,$M$11:$M$40,0)</f>
        <v>7</v>
      </c>
      <c r="B17" s="11" t="s">
        <v>79</v>
      </c>
      <c r="C17" s="9" t="s">
        <v>80</v>
      </c>
      <c r="D17" s="11" t="s">
        <v>24</v>
      </c>
      <c r="E17" s="11">
        <v>72</v>
      </c>
      <c r="F17" s="11">
        <v>75</v>
      </c>
      <c r="G17" s="11">
        <v>70</v>
      </c>
      <c r="H17" s="11">
        <v>68</v>
      </c>
      <c r="I17" s="11">
        <v>73</v>
      </c>
      <c r="J17" s="11">
        <v>77</v>
      </c>
      <c r="K17" s="11">
        <v>69</v>
      </c>
      <c r="L17" s="11">
        <f>SUM(E17:K17)</f>
        <v>504</v>
      </c>
      <c r="M17" s="13">
        <f>AVERAGE(E17:K17)</f>
        <v>72</v>
      </c>
      <c r="N17" s="17" t="str">
        <f>IF(M17&gt;=79,"A",IF(M17&gt;=69,"B",IF(M17&gt;=59,"C",IF(M17&gt;=49,"D",IF(M17&gt;=39,"E")))))</f>
        <v>B</v>
      </c>
    </row>
    <row r="18" spans="1:14" ht="14">
      <c r="A18" s="14">
        <f>RANK(M18,$M$11:$M$40,0)</f>
        <v>8</v>
      </c>
      <c r="B18" s="11" t="s">
        <v>55</v>
      </c>
      <c r="C18" s="9" t="s">
        <v>56</v>
      </c>
      <c r="D18" s="11" t="s">
        <v>33</v>
      </c>
      <c r="E18" s="11">
        <v>77</v>
      </c>
      <c r="F18" s="12">
        <v>55</v>
      </c>
      <c r="G18" s="11">
        <v>85</v>
      </c>
      <c r="H18" s="11">
        <v>70</v>
      </c>
      <c r="I18" s="11">
        <v>80</v>
      </c>
      <c r="J18" s="11">
        <v>66</v>
      </c>
      <c r="K18" s="11">
        <v>68</v>
      </c>
      <c r="L18" s="11">
        <f>SUM(E18:K18)</f>
        <v>501</v>
      </c>
      <c r="M18" s="13">
        <f>AVERAGE(E18:K18)</f>
        <v>71.571428571428569</v>
      </c>
      <c r="N18" s="17" t="str">
        <f>IF(M18&gt;=79,"A",IF(M18&gt;=69,"B",IF(M18&gt;=59,"C",IF(M18&gt;=49,"D",IF(M18&gt;=39,"E")))))</f>
        <v>B</v>
      </c>
    </row>
    <row r="19" spans="1:14" ht="14">
      <c r="A19" s="14">
        <f>RANK(M19,$M$11:$M$40,0)</f>
        <v>9</v>
      </c>
      <c r="B19" s="11" t="s">
        <v>34</v>
      </c>
      <c r="C19" s="9" t="s">
        <v>35</v>
      </c>
      <c r="D19" s="11" t="s">
        <v>36</v>
      </c>
      <c r="E19" s="11">
        <v>73</v>
      </c>
      <c r="F19" s="11">
        <v>70</v>
      </c>
      <c r="G19" s="11">
        <v>75</v>
      </c>
      <c r="H19" s="11">
        <v>68</v>
      </c>
      <c r="I19" s="11">
        <v>80</v>
      </c>
      <c r="J19" s="11">
        <v>65</v>
      </c>
      <c r="K19" s="11">
        <v>69</v>
      </c>
      <c r="L19" s="11">
        <f>SUM(E19:K19)</f>
        <v>500</v>
      </c>
      <c r="M19" s="13">
        <f>AVERAGE(E19:K19)</f>
        <v>71.428571428571431</v>
      </c>
      <c r="N19" s="17" t="str">
        <f>IF(M19&gt;=79,"A",IF(M19&gt;=69,"B",IF(M19&gt;=59,"C",IF(M19&gt;=49,"D",IF(M19&gt;=39,"E")))))</f>
        <v>B</v>
      </c>
    </row>
    <row r="20" spans="1:14" ht="14">
      <c r="A20" s="14">
        <f>RANK(M20,$M$11:$M$40,0)</f>
        <v>9</v>
      </c>
      <c r="B20" s="11" t="s">
        <v>63</v>
      </c>
      <c r="C20" s="9" t="s">
        <v>64</v>
      </c>
      <c r="D20" s="11" t="s">
        <v>27</v>
      </c>
      <c r="E20" s="11">
        <v>69</v>
      </c>
      <c r="F20" s="11">
        <v>70</v>
      </c>
      <c r="G20" s="11">
        <v>68</v>
      </c>
      <c r="H20" s="11">
        <v>66</v>
      </c>
      <c r="I20" s="11">
        <v>72</v>
      </c>
      <c r="J20" s="11">
        <v>74</v>
      </c>
      <c r="K20" s="11">
        <v>81</v>
      </c>
      <c r="L20" s="11">
        <f>SUM(E20:K20)</f>
        <v>500</v>
      </c>
      <c r="M20" s="13">
        <f>AVERAGE(E20:K20)</f>
        <v>71.428571428571431</v>
      </c>
      <c r="N20" s="17" t="str">
        <f>IF(M20&gt;=79,"A",IF(M20&gt;=69,"B",IF(M20&gt;=59,"C",IF(M20&gt;=49,"D",IF(M20&gt;=39,"E")))))</f>
        <v>B</v>
      </c>
    </row>
    <row r="21" spans="1:14" ht="14">
      <c r="A21" s="14">
        <f>RANK(M21,$M$11:$M$40,0)</f>
        <v>11</v>
      </c>
      <c r="B21" s="11" t="s">
        <v>57</v>
      </c>
      <c r="C21" s="9" t="s">
        <v>58</v>
      </c>
      <c r="D21" s="11" t="s">
        <v>30</v>
      </c>
      <c r="E21" s="11">
        <v>73</v>
      </c>
      <c r="F21" s="11">
        <v>75</v>
      </c>
      <c r="G21" s="11">
        <v>70</v>
      </c>
      <c r="H21" s="11">
        <v>76</v>
      </c>
      <c r="I21" s="11">
        <v>72</v>
      </c>
      <c r="J21" s="11">
        <v>65</v>
      </c>
      <c r="K21" s="11">
        <v>67</v>
      </c>
      <c r="L21" s="11">
        <f>SUM(E21:K21)</f>
        <v>498</v>
      </c>
      <c r="M21" s="13">
        <f>AVERAGE(E21:K21)</f>
        <v>71.142857142857139</v>
      </c>
      <c r="N21" s="17" t="str">
        <f>IF(M21&gt;=79,"A",IF(M21&gt;=69,"B",IF(M21&gt;=59,"C",IF(M21&gt;=49,"D",IF(M21&gt;=39,"E")))))</f>
        <v>B</v>
      </c>
    </row>
    <row r="22" spans="1:14" ht="14">
      <c r="A22" s="14">
        <f>RANK(M22,$M$11:$M$40,0)</f>
        <v>12</v>
      </c>
      <c r="B22" s="11" t="s">
        <v>41</v>
      </c>
      <c r="C22" s="9" t="s">
        <v>42</v>
      </c>
      <c r="D22" s="11" t="s">
        <v>12</v>
      </c>
      <c r="E22" s="11">
        <v>75</v>
      </c>
      <c r="F22" s="11">
        <v>71</v>
      </c>
      <c r="G22" s="12">
        <v>66</v>
      </c>
      <c r="H22" s="11">
        <v>74</v>
      </c>
      <c r="I22" s="11">
        <v>72</v>
      </c>
      <c r="J22" s="11">
        <v>69</v>
      </c>
      <c r="K22" s="11">
        <v>70</v>
      </c>
      <c r="L22" s="11">
        <f>SUM(E22:K22)</f>
        <v>497</v>
      </c>
      <c r="M22" s="13">
        <f>AVERAGE(E22:K22)</f>
        <v>71</v>
      </c>
      <c r="N22" s="17" t="str">
        <f>IF(M22&gt;=79,"A",IF(M22&gt;=69,"B",IF(M22&gt;=59,"C",IF(M22&gt;=49,"D",IF(M22&gt;=39,"E")))))</f>
        <v>B</v>
      </c>
    </row>
    <row r="23" spans="1:14" ht="14">
      <c r="A23" s="14">
        <f>RANK(M23,$M$11:$M$40,0)</f>
        <v>13</v>
      </c>
      <c r="B23" s="11" t="s">
        <v>28</v>
      </c>
      <c r="C23" s="9" t="s">
        <v>29</v>
      </c>
      <c r="D23" s="11" t="s">
        <v>30</v>
      </c>
      <c r="E23" s="12">
        <v>44</v>
      </c>
      <c r="F23" s="11">
        <v>74</v>
      </c>
      <c r="G23" s="11">
        <v>78</v>
      </c>
      <c r="H23" s="11">
        <v>82</v>
      </c>
      <c r="I23" s="11">
        <v>77</v>
      </c>
      <c r="J23" s="11">
        <v>69</v>
      </c>
      <c r="K23" s="11">
        <v>70</v>
      </c>
      <c r="L23" s="11">
        <f>SUM(E23:K23)</f>
        <v>494</v>
      </c>
      <c r="M23" s="13">
        <f>AVERAGE(E23:K23)</f>
        <v>70.571428571428569</v>
      </c>
      <c r="N23" s="17" t="str">
        <f>IF(M23&gt;=79,"A",IF(M23&gt;=69,"B",IF(M23&gt;=59,"C",IF(M23&gt;=49,"D",IF(M23&gt;=39,"E")))))</f>
        <v>B</v>
      </c>
    </row>
    <row r="24" spans="1:14" ht="14">
      <c r="A24" s="14">
        <f>RANK(M24,$M$11:$M$40,0)</f>
        <v>14</v>
      </c>
      <c r="B24" s="11" t="s">
        <v>46</v>
      </c>
      <c r="C24" s="9" t="s">
        <v>47</v>
      </c>
      <c r="D24" s="11" t="s">
        <v>48</v>
      </c>
      <c r="E24" s="12">
        <v>55</v>
      </c>
      <c r="F24" s="11">
        <v>73</v>
      </c>
      <c r="G24" s="11">
        <v>76</v>
      </c>
      <c r="H24" s="11">
        <v>68</v>
      </c>
      <c r="I24" s="11">
        <v>74</v>
      </c>
      <c r="J24" s="11">
        <v>60</v>
      </c>
      <c r="K24" s="11">
        <v>82</v>
      </c>
      <c r="L24" s="11">
        <f>SUM(E24:K24)</f>
        <v>488</v>
      </c>
      <c r="M24" s="13">
        <f>AVERAGE(E24:K24)</f>
        <v>69.714285714285708</v>
      </c>
      <c r="N24" s="17" t="str">
        <f>IF(M24&gt;=79,"A",IF(M24&gt;=69,"B",IF(M24&gt;=59,"C",IF(M24&gt;=49,"D",IF(M24&gt;=39,"E")))))</f>
        <v>B</v>
      </c>
    </row>
    <row r="25" spans="1:14" ht="14">
      <c r="A25" s="14">
        <f>RANK(M25,$M$11:$M$40,0)</f>
        <v>14</v>
      </c>
      <c r="B25" s="11" t="s">
        <v>67</v>
      </c>
      <c r="C25" s="9" t="s">
        <v>68</v>
      </c>
      <c r="D25" s="11" t="s">
        <v>36</v>
      </c>
      <c r="E25" s="11">
        <v>70</v>
      </c>
      <c r="F25" s="11">
        <v>74</v>
      </c>
      <c r="G25" s="11">
        <v>68</v>
      </c>
      <c r="H25" s="12">
        <v>55</v>
      </c>
      <c r="I25" s="11">
        <v>75</v>
      </c>
      <c r="J25" s="11">
        <v>77</v>
      </c>
      <c r="K25" s="11">
        <v>69</v>
      </c>
      <c r="L25" s="11">
        <f>SUM(E25:K25)</f>
        <v>488</v>
      </c>
      <c r="M25" s="13">
        <f>AVERAGE(E25:K25)</f>
        <v>69.714285714285708</v>
      </c>
      <c r="N25" s="17" t="str">
        <f>IF(M25&gt;=79,"A",IF(M25&gt;=69,"B",IF(M25&gt;=59,"C",IF(M25&gt;=49,"D",IF(M25&gt;=39,"E")))))</f>
        <v>B</v>
      </c>
    </row>
    <row r="26" spans="1:14" ht="14">
      <c r="A26" s="14">
        <f>RANK(M26,$M$11:$M$40,0)</f>
        <v>16</v>
      </c>
      <c r="B26" s="11" t="s">
        <v>31</v>
      </c>
      <c r="C26" s="9" t="s">
        <v>32</v>
      </c>
      <c r="D26" s="11" t="s">
        <v>33</v>
      </c>
      <c r="E26" s="12">
        <v>44</v>
      </c>
      <c r="F26" s="11">
        <v>66</v>
      </c>
      <c r="G26" s="11">
        <v>91</v>
      </c>
      <c r="H26" s="11">
        <v>73</v>
      </c>
      <c r="I26" s="11">
        <v>85</v>
      </c>
      <c r="J26" s="11">
        <v>60</v>
      </c>
      <c r="K26" s="11">
        <v>64</v>
      </c>
      <c r="L26" s="11">
        <f>SUM(E26:K26)</f>
        <v>483</v>
      </c>
      <c r="M26" s="13">
        <f>AVERAGE(E26:K26)</f>
        <v>69</v>
      </c>
      <c r="N26" s="17" t="str">
        <f>IF(M26&gt;=79,"A",IF(M26&gt;=69,"B",IF(M26&gt;=59,"C",IF(M26&gt;=49,"D",IF(M26&gt;=39,"E")))))</f>
        <v>B</v>
      </c>
    </row>
    <row r="27" spans="1:14" ht="14">
      <c r="A27" s="14">
        <f>RANK(M27,$M$11:$M$40,0)</f>
        <v>17</v>
      </c>
      <c r="B27" s="11" t="s">
        <v>37</v>
      </c>
      <c r="C27" s="9" t="s">
        <v>38</v>
      </c>
      <c r="D27" s="11" t="s">
        <v>21</v>
      </c>
      <c r="E27" s="12">
        <v>44</v>
      </c>
      <c r="F27" s="11">
        <v>77</v>
      </c>
      <c r="G27" s="12">
        <v>55</v>
      </c>
      <c r="H27" s="11">
        <v>79</v>
      </c>
      <c r="I27" s="11">
        <v>81</v>
      </c>
      <c r="J27" s="11">
        <v>72</v>
      </c>
      <c r="K27" s="11">
        <v>74</v>
      </c>
      <c r="L27" s="11">
        <f>SUM(E27:K27)</f>
        <v>482</v>
      </c>
      <c r="M27" s="13">
        <f>AVERAGE(E27:K27)</f>
        <v>68.857142857142861</v>
      </c>
      <c r="N27" s="16" t="str">
        <f>IF(M27&gt;=79,"A",IF(M27&gt;=69,"B",IF(M27&gt;=59,"C",IF(M27&gt;=49,"D",IF(M27&gt;=39,"E")))))</f>
        <v>C</v>
      </c>
    </row>
    <row r="28" spans="1:14" ht="14">
      <c r="A28" s="14">
        <f>RANK(M28,$M$11:$M$40,0)</f>
        <v>18</v>
      </c>
      <c r="B28" s="11" t="s">
        <v>43</v>
      </c>
      <c r="C28" s="9" t="s">
        <v>44</v>
      </c>
      <c r="D28" s="11" t="s">
        <v>45</v>
      </c>
      <c r="E28" s="11">
        <v>66</v>
      </c>
      <c r="F28" s="11">
        <v>68</v>
      </c>
      <c r="G28" s="11">
        <v>62</v>
      </c>
      <c r="H28" s="11">
        <v>64</v>
      </c>
      <c r="I28" s="11">
        <v>65</v>
      </c>
      <c r="J28" s="11">
        <v>78</v>
      </c>
      <c r="K28" s="11">
        <v>72</v>
      </c>
      <c r="L28" s="11">
        <f>SUM(E28:K28)</f>
        <v>475</v>
      </c>
      <c r="M28" s="13">
        <f>AVERAGE(E28:K28)</f>
        <v>67.857142857142861</v>
      </c>
      <c r="N28" s="16" t="str">
        <f>IF(M28&gt;=79,"A",IF(M28&gt;=69,"B",IF(M28&gt;=59,"C",IF(M28&gt;=49,"D",IF(M28&gt;=39,"E")))))</f>
        <v>C</v>
      </c>
    </row>
    <row r="29" spans="1:14" ht="14">
      <c r="A29" s="14">
        <f>RANK(M29,$M$11:$M$40,0)</f>
        <v>19</v>
      </c>
      <c r="B29" s="11" t="s">
        <v>75</v>
      </c>
      <c r="C29" s="9" t="s">
        <v>76</v>
      </c>
      <c r="D29" s="11" t="s">
        <v>18</v>
      </c>
      <c r="E29" s="11">
        <v>75</v>
      </c>
      <c r="F29" s="11">
        <v>78</v>
      </c>
      <c r="G29" s="12">
        <v>55</v>
      </c>
      <c r="H29" s="12">
        <v>44</v>
      </c>
      <c r="I29" s="11">
        <v>77</v>
      </c>
      <c r="J29" s="11">
        <v>70</v>
      </c>
      <c r="K29" s="11">
        <v>72</v>
      </c>
      <c r="L29" s="11">
        <f>SUM(E29:K29)</f>
        <v>471</v>
      </c>
      <c r="M29" s="13">
        <f>AVERAGE(E29:K29)</f>
        <v>67.285714285714292</v>
      </c>
      <c r="N29" s="16" t="str">
        <f>IF(M29&gt;=79,"A",IF(M29&gt;=69,"B",IF(M29&gt;=59,"C",IF(M29&gt;=49,"D",IF(M29&gt;=39,"E")))))</f>
        <v>C</v>
      </c>
    </row>
    <row r="30" spans="1:14" ht="14">
      <c r="A30" s="14">
        <f>RANK(M30,$M$11:$M$40,0)</f>
        <v>20</v>
      </c>
      <c r="B30" s="11" t="s">
        <v>51</v>
      </c>
      <c r="C30" s="9" t="s">
        <v>52</v>
      </c>
      <c r="D30" s="11" t="s">
        <v>24</v>
      </c>
      <c r="E30" s="11">
        <v>68</v>
      </c>
      <c r="F30" s="11">
        <v>72</v>
      </c>
      <c r="G30" s="11">
        <v>70</v>
      </c>
      <c r="H30" s="11">
        <v>66</v>
      </c>
      <c r="I30" s="11">
        <v>71</v>
      </c>
      <c r="J30" s="11">
        <v>63</v>
      </c>
      <c r="K30" s="11">
        <v>60</v>
      </c>
      <c r="L30" s="11">
        <f>SUM(E30:K30)</f>
        <v>470</v>
      </c>
      <c r="M30" s="13">
        <f>AVERAGE(E30:K30)</f>
        <v>67.142857142857139</v>
      </c>
      <c r="N30" s="16" t="str">
        <f>IF(M30&gt;=79,"A",IF(M30&gt;=69,"B",IF(M30&gt;=59,"C",IF(M30&gt;=49,"D",IF(M30&gt;=39,"E")))))</f>
        <v>C</v>
      </c>
    </row>
    <row r="31" spans="1:14" ht="14">
      <c r="A31" s="14">
        <f>RANK(M31,$M$11:$M$40,0)</f>
        <v>21</v>
      </c>
      <c r="B31" s="11" t="s">
        <v>53</v>
      </c>
      <c r="C31" s="9" t="s">
        <v>54</v>
      </c>
      <c r="D31" s="11" t="s">
        <v>45</v>
      </c>
      <c r="E31" s="11">
        <v>64</v>
      </c>
      <c r="F31" s="11">
        <v>66</v>
      </c>
      <c r="G31" s="12">
        <v>55</v>
      </c>
      <c r="H31" s="11">
        <v>65</v>
      </c>
      <c r="I31" s="11">
        <v>68</v>
      </c>
      <c r="J31" s="11">
        <v>74</v>
      </c>
      <c r="K31" s="11">
        <v>70</v>
      </c>
      <c r="L31" s="11">
        <f>SUM(E31:K31)</f>
        <v>462</v>
      </c>
      <c r="M31" s="13">
        <f>AVERAGE(E31:K31)</f>
        <v>66</v>
      </c>
      <c r="N31" s="16" t="str">
        <f>IF(M31&gt;=79,"A",IF(M31&gt;=69,"B",IF(M31&gt;=59,"C",IF(M31&gt;=49,"D",IF(M31&gt;=39,"E")))))</f>
        <v>C</v>
      </c>
    </row>
    <row r="32" spans="1:14" ht="14">
      <c r="A32" s="14">
        <f>RANK(M32,$M$11:$M$40,0)</f>
        <v>22</v>
      </c>
      <c r="B32" s="11" t="s">
        <v>39</v>
      </c>
      <c r="C32" s="9" t="s">
        <v>40</v>
      </c>
      <c r="D32" s="11" t="s">
        <v>18</v>
      </c>
      <c r="E32" s="12">
        <v>56</v>
      </c>
      <c r="F32" s="11">
        <v>72</v>
      </c>
      <c r="G32" s="11">
        <v>65</v>
      </c>
      <c r="H32" s="11">
        <v>70</v>
      </c>
      <c r="I32" s="11">
        <v>68</v>
      </c>
      <c r="J32" s="11">
        <v>64</v>
      </c>
      <c r="K32" s="11">
        <v>66</v>
      </c>
      <c r="L32" s="11">
        <f>SUM(E32:K32)</f>
        <v>461</v>
      </c>
      <c r="M32" s="13">
        <f>AVERAGE(E32:K32)</f>
        <v>65.857142857142861</v>
      </c>
      <c r="N32" s="16" t="str">
        <f>IF(M32&gt;=79,"A",IF(M32&gt;=69,"B",IF(M32&gt;=59,"C",IF(M32&gt;=49,"D",IF(M32&gt;=39,"E")))))</f>
        <v>C</v>
      </c>
    </row>
    <row r="33" spans="1:14" ht="14">
      <c r="A33" s="14">
        <f>RANK(M33,$M$11:$M$40,0)</f>
        <v>23</v>
      </c>
      <c r="B33" s="11" t="s">
        <v>25</v>
      </c>
      <c r="C33" s="9" t="s">
        <v>26</v>
      </c>
      <c r="D33" s="11" t="s">
        <v>27</v>
      </c>
      <c r="E33" s="11">
        <v>71</v>
      </c>
      <c r="F33" s="11">
        <v>68</v>
      </c>
      <c r="G33" s="11">
        <v>72</v>
      </c>
      <c r="H33" s="11">
        <v>65</v>
      </c>
      <c r="I33" s="11">
        <v>60</v>
      </c>
      <c r="J33" s="11">
        <v>75</v>
      </c>
      <c r="K33" s="12">
        <v>44</v>
      </c>
      <c r="L33" s="11">
        <f>SUM(E33:K33)</f>
        <v>455</v>
      </c>
      <c r="M33" s="13">
        <f>AVERAGE(E33:K33)</f>
        <v>65</v>
      </c>
      <c r="N33" s="16" t="str">
        <f>IF(M33&gt;=79,"A",IF(M33&gt;=69,"B",IF(M33&gt;=59,"C",IF(M33&gt;=49,"D",IF(M33&gt;=39,"E")))))</f>
        <v>C</v>
      </c>
    </row>
    <row r="34" spans="1:14" ht="14">
      <c r="A34" s="14">
        <f>RANK(M34,$M$11:$M$40,0)</f>
        <v>24</v>
      </c>
      <c r="B34" s="11" t="s">
        <v>10</v>
      </c>
      <c r="C34" s="9" t="s">
        <v>11</v>
      </c>
      <c r="D34" s="11" t="s">
        <v>12</v>
      </c>
      <c r="E34" s="11">
        <v>78</v>
      </c>
      <c r="F34" s="11">
        <v>65</v>
      </c>
      <c r="G34" s="12">
        <v>44</v>
      </c>
      <c r="H34" s="11">
        <v>74</v>
      </c>
      <c r="I34" s="11">
        <v>69</v>
      </c>
      <c r="J34" s="11">
        <v>55</v>
      </c>
      <c r="K34" s="11">
        <v>60</v>
      </c>
      <c r="L34" s="11">
        <f>SUM(E34:K34)</f>
        <v>445</v>
      </c>
      <c r="M34" s="13">
        <f>AVERAGE(E34:K34)</f>
        <v>63.571428571428569</v>
      </c>
      <c r="N34" s="16" t="str">
        <f>IF(M34&gt;=79,"A",IF(M34&gt;=69,"B",IF(M34&gt;=59,"C",IF(M34&gt;=49,"D",IF(M34&gt;=39,"E")))))</f>
        <v>C</v>
      </c>
    </row>
    <row r="35" spans="1:14" ht="14">
      <c r="A35" s="14">
        <f>RANK(M35,$M$11:$M$40,0)</f>
        <v>25</v>
      </c>
      <c r="B35" s="11" t="s">
        <v>71</v>
      </c>
      <c r="C35" s="9" t="s">
        <v>72</v>
      </c>
      <c r="D35" s="11" t="s">
        <v>15</v>
      </c>
      <c r="E35" s="11">
        <v>65</v>
      </c>
      <c r="F35" s="11">
        <v>70</v>
      </c>
      <c r="G35" s="11">
        <v>60</v>
      </c>
      <c r="H35" s="11">
        <v>62</v>
      </c>
      <c r="I35" s="11">
        <v>68</v>
      </c>
      <c r="J35" s="12">
        <v>55</v>
      </c>
      <c r="K35" s="11">
        <v>64</v>
      </c>
      <c r="L35" s="11">
        <f>SUM(E35:K35)</f>
        <v>444</v>
      </c>
      <c r="M35" s="13">
        <f>AVERAGE(E35:K35)</f>
        <v>63.428571428571431</v>
      </c>
      <c r="N35" s="16" t="str">
        <f>IF(M35&gt;=79,"A",IF(M35&gt;=69,"B",IF(M35&gt;=59,"C",IF(M35&gt;=49,"D",IF(M35&gt;=39,"E")))))</f>
        <v>C</v>
      </c>
    </row>
    <row r="36" spans="1:14" ht="14">
      <c r="A36" s="14">
        <f>RANK(M36,$M$11:$M$40,0)</f>
        <v>26</v>
      </c>
      <c r="B36" s="11" t="s">
        <v>22</v>
      </c>
      <c r="C36" s="9" t="s">
        <v>23</v>
      </c>
      <c r="D36" s="11" t="s">
        <v>24</v>
      </c>
      <c r="E36" s="11">
        <v>62</v>
      </c>
      <c r="F36" s="11">
        <v>70</v>
      </c>
      <c r="G36" s="11">
        <v>58</v>
      </c>
      <c r="H36" s="11">
        <v>60</v>
      </c>
      <c r="I36" s="11">
        <v>64</v>
      </c>
      <c r="J36" s="11">
        <v>66</v>
      </c>
      <c r="K36" s="11">
        <v>59</v>
      </c>
      <c r="L36" s="11">
        <f>SUM(E36:K36)</f>
        <v>439</v>
      </c>
      <c r="M36" s="13">
        <f>AVERAGE(E36:K36)</f>
        <v>62.714285714285715</v>
      </c>
      <c r="N36" s="16" t="str">
        <f>IF(M36&gt;=79,"A",IF(M36&gt;=69,"B",IF(M36&gt;=59,"C",IF(M36&gt;=49,"D",IF(M36&gt;=39,"E")))))</f>
        <v>C</v>
      </c>
    </row>
    <row r="37" spans="1:14" ht="14">
      <c r="A37" s="14">
        <f>RANK(M37,$M$11:$M$40,0)</f>
        <v>27</v>
      </c>
      <c r="B37" s="11" t="s">
        <v>49</v>
      </c>
      <c r="C37" s="9" t="s">
        <v>50</v>
      </c>
      <c r="D37" s="11" t="s">
        <v>15</v>
      </c>
      <c r="E37" s="11">
        <v>72</v>
      </c>
      <c r="F37" s="11">
        <v>65</v>
      </c>
      <c r="G37" s="11">
        <v>60</v>
      </c>
      <c r="H37" s="11">
        <v>58</v>
      </c>
      <c r="I37" s="11">
        <v>69</v>
      </c>
      <c r="J37" s="11">
        <v>70</v>
      </c>
      <c r="K37" s="12">
        <v>44</v>
      </c>
      <c r="L37" s="11">
        <f>SUM(E37:K37)</f>
        <v>438</v>
      </c>
      <c r="M37" s="13">
        <f>AVERAGE(E37:K37)</f>
        <v>62.571428571428569</v>
      </c>
      <c r="N37" s="16" t="str">
        <f>IF(M37&gt;=79,"A",IF(M37&gt;=69,"B",IF(M37&gt;=59,"C",IF(M37&gt;=49,"D",IF(M37&gt;=39,"E")))))</f>
        <v>C</v>
      </c>
    </row>
    <row r="38" spans="1:14" ht="14">
      <c r="A38" s="14">
        <f>RANK(M38,$M$11:$M$40,0)</f>
        <v>28</v>
      </c>
      <c r="B38" s="11" t="s">
        <v>73</v>
      </c>
      <c r="C38" s="9" t="s">
        <v>74</v>
      </c>
      <c r="D38" s="11" t="s">
        <v>45</v>
      </c>
      <c r="E38" s="12">
        <v>44</v>
      </c>
      <c r="F38" s="11">
        <v>66</v>
      </c>
      <c r="G38" s="11">
        <v>70</v>
      </c>
      <c r="H38" s="11">
        <v>72</v>
      </c>
      <c r="I38" s="12">
        <v>44</v>
      </c>
      <c r="J38" s="12">
        <v>55</v>
      </c>
      <c r="K38" s="11">
        <v>74</v>
      </c>
      <c r="L38" s="11">
        <f>SUM(E38:K38)</f>
        <v>425</v>
      </c>
      <c r="M38" s="13">
        <f>AVERAGE(E38:K38)</f>
        <v>60.714285714285715</v>
      </c>
      <c r="N38" s="16" t="str">
        <f>IF(M38&gt;=79,"A",IF(M38&gt;=69,"B",IF(M38&gt;=59,"C",IF(M38&gt;=49,"D",IF(M38&gt;=39,"E")))))</f>
        <v>C</v>
      </c>
    </row>
    <row r="39" spans="1:14" ht="14">
      <c r="A39" s="14">
        <f>RANK(M39,$M$11:$M$40,0)</f>
        <v>29</v>
      </c>
      <c r="B39" s="11" t="s">
        <v>59</v>
      </c>
      <c r="C39" s="9" t="s">
        <v>60</v>
      </c>
      <c r="D39" s="11" t="s">
        <v>21</v>
      </c>
      <c r="E39" s="12">
        <v>55</v>
      </c>
      <c r="F39" s="11">
        <v>78</v>
      </c>
      <c r="G39" s="12">
        <v>25</v>
      </c>
      <c r="H39" s="11">
        <v>82</v>
      </c>
      <c r="I39" s="12">
        <v>22</v>
      </c>
      <c r="J39" s="11">
        <v>80</v>
      </c>
      <c r="K39" s="11">
        <v>79</v>
      </c>
      <c r="L39" s="11">
        <f>SUM(E39:K39)</f>
        <v>421</v>
      </c>
      <c r="M39" s="13">
        <f>AVERAGE(E39:K39)</f>
        <v>60.142857142857146</v>
      </c>
      <c r="N39" s="16" t="str">
        <f>IF(M39&gt;=79,"A",IF(M39&gt;=69,"B",IF(M39&gt;=59,"C",IF(M39&gt;=49,"D",IF(M39&gt;=39,"E")))))</f>
        <v>C</v>
      </c>
    </row>
    <row r="40" spans="1:14" ht="14">
      <c r="A40" s="14">
        <f>RANK(M40,$M$11:$M$40,0)</f>
        <v>30</v>
      </c>
      <c r="B40" s="11" t="s">
        <v>13</v>
      </c>
      <c r="C40" s="9" t="s">
        <v>14</v>
      </c>
      <c r="D40" s="11" t="s">
        <v>15</v>
      </c>
      <c r="E40" s="11">
        <v>55</v>
      </c>
      <c r="F40" s="11">
        <v>60</v>
      </c>
      <c r="G40" s="11">
        <v>48</v>
      </c>
      <c r="H40" s="11">
        <v>52</v>
      </c>
      <c r="I40" s="11">
        <v>72</v>
      </c>
      <c r="J40" s="11">
        <v>67</v>
      </c>
      <c r="K40" s="11">
        <v>58</v>
      </c>
      <c r="L40" s="11">
        <f>SUM(E40:K40)</f>
        <v>412</v>
      </c>
      <c r="M40" s="13">
        <f>AVERAGE(E40:K40)</f>
        <v>58.857142857142854</v>
      </c>
      <c r="N40" s="15" t="str">
        <f>IF(M40&gt;=79,"A",IF(M40&gt;=69,"B",IF(M40&gt;=59,"C",IF(M40&gt;=49,"D",IF(M40&gt;=39,"E")))))</f>
        <v>D</v>
      </c>
    </row>
    <row r="41" spans="1:14" ht="14">
      <c r="A41" s="28"/>
      <c r="B41" s="28"/>
      <c r="C41" s="29" t="s">
        <v>100</v>
      </c>
      <c r="D41" s="29"/>
      <c r="E41" s="30">
        <f>AVERAGE(E11:E40)</f>
        <v>66.433333333333337</v>
      </c>
      <c r="F41" s="30">
        <f t="shared" ref="F41:M41" si="0">AVERAGE(F11:F40)</f>
        <v>71.400000000000006</v>
      </c>
      <c r="G41" s="30">
        <f t="shared" si="0"/>
        <v>67.966666666666669</v>
      </c>
      <c r="H41" s="30">
        <f t="shared" si="0"/>
        <v>69</v>
      </c>
      <c r="I41" s="30">
        <f t="shared" si="0"/>
        <v>71.400000000000006</v>
      </c>
      <c r="J41" s="30">
        <f t="shared" si="0"/>
        <v>68.466666666666669</v>
      </c>
      <c r="K41" s="30">
        <f t="shared" si="0"/>
        <v>68.033333333333331</v>
      </c>
      <c r="L41" s="30"/>
      <c r="M41" s="30">
        <f t="shared" si="0"/>
        <v>68.957142857142856</v>
      </c>
      <c r="N41" s="28"/>
    </row>
  </sheetData>
  <mergeCells count="2">
    <mergeCell ref="A8:M8"/>
    <mergeCell ref="A9:M9"/>
  </mergeCells>
  <conditionalFormatting sqref="E11:K40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1:N40">
    <cfRule type="colorScale" priority="1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308D-932D-4011-9359-0BE11D433275}">
  <dimension ref="A1:G31"/>
  <sheetViews>
    <sheetView zoomScale="70" zoomScaleNormal="70" workbookViewId="0">
      <selection activeCell="Y15" sqref="Y13:Y15"/>
    </sheetView>
  </sheetViews>
  <sheetFormatPr defaultRowHeight="12.5"/>
  <cols>
    <col min="1" max="1" width="6" customWidth="1"/>
    <col min="2" max="2" width="20.453125" customWidth="1"/>
    <col min="3" max="3" width="14.7265625" customWidth="1"/>
    <col min="4" max="4" width="10.1796875" customWidth="1"/>
    <col min="5" max="5" width="22.90625" customWidth="1"/>
    <col min="6" max="6" width="6.90625" customWidth="1"/>
  </cols>
  <sheetData>
    <row r="1" spans="1:7">
      <c r="A1" s="21"/>
      <c r="B1" s="21"/>
      <c r="C1" s="21"/>
      <c r="D1" s="21"/>
      <c r="E1" s="21"/>
      <c r="F1" s="21"/>
      <c r="G1" s="21"/>
    </row>
    <row r="2" spans="1:7">
      <c r="A2" s="21"/>
      <c r="B2" s="22"/>
      <c r="C2" s="23"/>
      <c r="D2" s="23"/>
      <c r="E2" s="23"/>
      <c r="F2" s="23"/>
      <c r="G2" s="21"/>
    </row>
    <row r="3" spans="1:7">
      <c r="A3" s="21"/>
      <c r="B3" s="22"/>
      <c r="C3" s="23"/>
      <c r="D3" s="23"/>
      <c r="E3" s="23"/>
      <c r="F3" s="23"/>
      <c r="G3" s="21"/>
    </row>
    <row r="4" spans="1:7">
      <c r="A4" s="21"/>
      <c r="B4" s="22"/>
      <c r="C4" s="23"/>
      <c r="D4" s="23"/>
      <c r="E4" s="23"/>
      <c r="F4" s="23"/>
      <c r="G4" s="21"/>
    </row>
    <row r="5" spans="1:7">
      <c r="A5" s="21"/>
      <c r="B5" s="22"/>
      <c r="C5" s="23"/>
      <c r="D5" s="23"/>
      <c r="E5" s="23"/>
      <c r="F5" s="23"/>
      <c r="G5" s="21"/>
    </row>
    <row r="6" spans="1:7">
      <c r="A6" s="21"/>
      <c r="B6" s="22"/>
      <c r="C6" s="23"/>
      <c r="D6" s="23"/>
      <c r="E6" s="23"/>
      <c r="F6" s="23"/>
      <c r="G6" s="21"/>
    </row>
    <row r="7" spans="1:7">
      <c r="A7" s="21"/>
      <c r="B7" s="22"/>
      <c r="C7" s="23"/>
      <c r="D7" s="23"/>
      <c r="E7" s="23"/>
      <c r="F7" s="23"/>
      <c r="G7" s="21"/>
    </row>
    <row r="8" spans="1:7" ht="15.5">
      <c r="A8" s="21"/>
      <c r="B8" s="31"/>
      <c r="C8" s="31"/>
      <c r="D8" s="31"/>
      <c r="E8" s="31"/>
      <c r="F8" s="31"/>
      <c r="G8" s="21"/>
    </row>
    <row r="9" spans="1:7" ht="19.5">
      <c r="A9" s="21"/>
      <c r="B9" s="32" t="s">
        <v>101</v>
      </c>
      <c r="C9" s="33"/>
      <c r="D9" s="33"/>
      <c r="E9" s="33"/>
      <c r="F9" s="33"/>
      <c r="G9" s="21"/>
    </row>
    <row r="10" spans="1:7" ht="19.5">
      <c r="A10" s="21"/>
      <c r="B10" s="36"/>
      <c r="C10" s="37"/>
      <c r="D10" s="37"/>
      <c r="E10" s="37"/>
      <c r="F10" s="37"/>
      <c r="G10" s="21"/>
    </row>
    <row r="11" spans="1:7" ht="19.5">
      <c r="A11" s="21"/>
      <c r="B11" s="38" t="s">
        <v>83</v>
      </c>
      <c r="C11" s="39" t="s">
        <v>79</v>
      </c>
      <c r="D11" s="40"/>
      <c r="E11" s="40"/>
      <c r="F11" s="40"/>
      <c r="G11" s="21"/>
    </row>
    <row r="12" spans="1:7" ht="19.5">
      <c r="A12" s="21"/>
      <c r="B12" s="38" t="s">
        <v>82</v>
      </c>
      <c r="C12" s="39" t="str">
        <f>VLOOKUP(C11,'Student Records'!A:B,2,FALSE)</f>
        <v>Fatima Lawal</v>
      </c>
      <c r="D12" s="40"/>
      <c r="E12" s="40"/>
      <c r="F12" s="40"/>
      <c r="G12" s="21"/>
    </row>
    <row r="13" spans="1:7" ht="19.5">
      <c r="A13" s="21"/>
      <c r="B13" s="38" t="s">
        <v>81</v>
      </c>
      <c r="C13" s="39" t="str">
        <f>VLOOKUP(C11,'Student Records'!A:C,3,FALSE)</f>
        <v>Economics</v>
      </c>
      <c r="D13" s="40"/>
      <c r="E13" s="40"/>
      <c r="F13" s="40"/>
      <c r="G13" s="21"/>
    </row>
    <row r="14" spans="1:7" ht="18">
      <c r="A14" s="21"/>
      <c r="B14" s="40"/>
      <c r="C14" s="40"/>
      <c r="D14" s="40"/>
      <c r="E14" s="40"/>
      <c r="F14" s="40"/>
      <c r="G14" s="21"/>
    </row>
    <row r="15" spans="1:7" ht="18.5" thickBot="1">
      <c r="A15" s="21"/>
      <c r="B15" s="40"/>
      <c r="C15" s="40"/>
      <c r="D15" s="40"/>
      <c r="E15" s="40"/>
      <c r="F15" s="40"/>
      <c r="G15" s="21"/>
    </row>
    <row r="16" spans="1:7" ht="20" thickBot="1">
      <c r="A16" s="21"/>
      <c r="B16" s="41" t="s">
        <v>84</v>
      </c>
      <c r="C16" s="42" t="s">
        <v>85</v>
      </c>
      <c r="D16" s="43" t="s">
        <v>86</v>
      </c>
      <c r="E16" s="40"/>
      <c r="F16" s="40"/>
      <c r="G16" s="21"/>
    </row>
    <row r="17" spans="1:7" ht="18">
      <c r="A17" s="21"/>
      <c r="B17" s="44" t="s">
        <v>3</v>
      </c>
      <c r="C17" s="45">
        <f>VLOOKUP($C$11,'Student Records'!A:D,4,FALSE)</f>
        <v>72</v>
      </c>
      <c r="D17" s="46" t="str">
        <f>IF(C17&gt;=80,"A",IF(C17&gt;=65,"B",IF(C17&gt;=55,"C",IF(C17&gt;=45,"D",IF(C17&gt;=39,"E")))))</f>
        <v>B</v>
      </c>
      <c r="E17" s="40"/>
      <c r="F17" s="40"/>
      <c r="G17" s="21"/>
    </row>
    <row r="18" spans="1:7" ht="18">
      <c r="A18" s="21"/>
      <c r="B18" s="47" t="s">
        <v>4</v>
      </c>
      <c r="C18" s="48">
        <f>VLOOKUP($C$11,'Student Records'!A:E,5,FALSE)</f>
        <v>75</v>
      </c>
      <c r="D18" s="46" t="str">
        <f t="shared" ref="D18:D23" si="0">IF(C18&gt;=80,"A",IF(C18&gt;=65,"B",IF(C18&gt;=55,"C",IF(C18&gt;=45,"D",IF(C18&gt;=39,"E")))))</f>
        <v>B</v>
      </c>
      <c r="E18" s="40"/>
      <c r="F18" s="40"/>
      <c r="G18" s="21"/>
    </row>
    <row r="19" spans="1:7" ht="18">
      <c r="A19" s="21"/>
      <c r="B19" s="47" t="s">
        <v>5</v>
      </c>
      <c r="C19" s="48">
        <f>VLOOKUP($C$11,'Student Records'!A:F,6,FALSE)</f>
        <v>70</v>
      </c>
      <c r="D19" s="46" t="str">
        <f t="shared" si="0"/>
        <v>B</v>
      </c>
      <c r="E19" s="40"/>
      <c r="F19" s="40"/>
      <c r="G19" s="21"/>
    </row>
    <row r="20" spans="1:7" ht="18">
      <c r="A20" s="21"/>
      <c r="B20" s="47" t="s">
        <v>6</v>
      </c>
      <c r="C20" s="48">
        <f>VLOOKUP($C$11,'Student Records'!A:G,7,FALSE)</f>
        <v>68</v>
      </c>
      <c r="D20" s="46" t="str">
        <f t="shared" si="0"/>
        <v>B</v>
      </c>
      <c r="E20" s="40"/>
      <c r="F20" s="40"/>
      <c r="G20" s="21"/>
    </row>
    <row r="21" spans="1:7" ht="18">
      <c r="A21" s="21"/>
      <c r="B21" s="47" t="s">
        <v>7</v>
      </c>
      <c r="C21" s="48">
        <f>VLOOKUP($C$11,'Student Records'!A:H,8,FALSE)</f>
        <v>73</v>
      </c>
      <c r="D21" s="46" t="str">
        <f t="shared" si="0"/>
        <v>B</v>
      </c>
      <c r="E21" s="40"/>
      <c r="F21" s="40"/>
      <c r="G21" s="21"/>
    </row>
    <row r="22" spans="1:7" ht="18">
      <c r="A22" s="21"/>
      <c r="B22" s="47" t="s">
        <v>8</v>
      </c>
      <c r="C22" s="48">
        <f>VLOOKUP($C$11,'Student Records'!A:I,9,FALSE)</f>
        <v>77</v>
      </c>
      <c r="D22" s="46" t="str">
        <f t="shared" si="0"/>
        <v>B</v>
      </c>
      <c r="E22" s="40"/>
      <c r="F22" s="40"/>
      <c r="G22" s="21"/>
    </row>
    <row r="23" spans="1:7" ht="18.5" thickBot="1">
      <c r="A23" s="21"/>
      <c r="B23" s="49" t="s">
        <v>9</v>
      </c>
      <c r="C23" s="50">
        <f>VLOOKUP($C$11,'Student Records'!A:J,10,FALSE)</f>
        <v>69</v>
      </c>
      <c r="D23" s="46" t="str">
        <f t="shared" si="0"/>
        <v>B</v>
      </c>
      <c r="E23" s="40"/>
      <c r="F23" s="40"/>
      <c r="G23" s="21"/>
    </row>
    <row r="24" spans="1:7" ht="18.5" thickBot="1">
      <c r="A24" s="21"/>
      <c r="B24" s="40"/>
      <c r="C24" s="40"/>
      <c r="D24" s="40"/>
      <c r="E24" s="40"/>
      <c r="F24" s="40"/>
      <c r="G24" s="21"/>
    </row>
    <row r="25" spans="1:7" ht="19.5">
      <c r="A25" s="21"/>
      <c r="B25" s="52" t="s">
        <v>94</v>
      </c>
      <c r="C25" s="53">
        <f>_xlfn.XLOOKUP(C11,'Student Records'!A:A,'Student Records'!M:M,"None",0,1)</f>
        <v>7</v>
      </c>
      <c r="D25" s="40"/>
      <c r="E25" s="52" t="s">
        <v>97</v>
      </c>
      <c r="F25" s="53">
        <f>COUNTA('Student Records'!L2:L31)</f>
        <v>30</v>
      </c>
      <c r="G25" s="21"/>
    </row>
    <row r="26" spans="1:7" ht="20" thickBot="1">
      <c r="A26" s="21"/>
      <c r="B26" s="54" t="s">
        <v>111</v>
      </c>
      <c r="C26" s="51" t="str">
        <f>VLOOKUP('Report Cards'!C11,'Student Records'!A:N,14,FALSE)</f>
        <v>B</v>
      </c>
      <c r="D26" s="40"/>
      <c r="E26" s="55" t="s">
        <v>96</v>
      </c>
      <c r="F26" s="46">
        <f>COUNTA('Student Records'!D1:J1)</f>
        <v>7</v>
      </c>
      <c r="G26" s="21"/>
    </row>
    <row r="27" spans="1:7" ht="20" thickBot="1">
      <c r="A27" s="21"/>
      <c r="B27" s="40"/>
      <c r="C27" s="40"/>
      <c r="D27" s="40"/>
      <c r="E27" s="54" t="s">
        <v>107</v>
      </c>
      <c r="F27" s="56">
        <f>VLOOKUP(C11,'Student Records'!A:L,12,0)</f>
        <v>72</v>
      </c>
      <c r="G27" s="21"/>
    </row>
    <row r="28" spans="1:7" ht="15.5">
      <c r="A28" s="21"/>
      <c r="B28" s="57"/>
      <c r="C28" s="57"/>
      <c r="D28" s="57"/>
      <c r="E28" s="58"/>
      <c r="F28" s="59"/>
      <c r="G28" s="21"/>
    </row>
    <row r="29" spans="1:7" ht="15.5">
      <c r="A29" s="21"/>
      <c r="B29" s="57"/>
      <c r="C29" s="57"/>
      <c r="D29" s="57"/>
      <c r="E29" s="57"/>
      <c r="F29" s="57"/>
      <c r="G29" s="21"/>
    </row>
    <row r="30" spans="1:7" ht="28">
      <c r="A30" s="21"/>
      <c r="B30" s="37" t="s">
        <v>112</v>
      </c>
      <c r="C30" s="35" t="s">
        <v>110</v>
      </c>
      <c r="D30" s="57"/>
      <c r="E30" s="57"/>
      <c r="F30" s="57"/>
      <c r="G30" s="21"/>
    </row>
    <row r="31" spans="1:7" ht="17.5">
      <c r="A31" s="21"/>
      <c r="B31" s="34"/>
      <c r="C31" s="34"/>
      <c r="D31" s="34"/>
      <c r="E31" s="34"/>
      <c r="F31" s="34"/>
      <c r="G31" s="21"/>
    </row>
  </sheetData>
  <mergeCells count="1">
    <mergeCell ref="B9:F9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3103C0-4F80-4FC6-97C7-C39EE997DA30}">
          <x14:formula1>
            <xm:f>'Student Records'!$A$2:$A$31</xm:f>
          </x14:formula1>
          <xm:sqref>C11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6D39A355080C45AB74C82FF1E3E82A" ma:contentTypeVersion="7" ma:contentTypeDescription="Create a new document." ma:contentTypeScope="" ma:versionID="2dad8da38e69b64d21c305678dae0be7">
  <xsd:schema xmlns:xsd="http://www.w3.org/2001/XMLSchema" xmlns:xs="http://www.w3.org/2001/XMLSchema" xmlns:p="http://schemas.microsoft.com/office/2006/metadata/properties" xmlns:ns2="6e0a9b9c-4ed8-4e9f-8162-c5b27aabdd60" targetNamespace="http://schemas.microsoft.com/office/2006/metadata/properties" ma:root="true" ma:fieldsID="be9a6167c0c2a6724675cfc81f59e3cf" ns2:_="">
    <xsd:import namespace="6e0a9b9c-4ed8-4e9f-8162-c5b27aabd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0a9b9c-4ed8-4e9f-8162-c5b27aabdd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821F9B-B1E0-40B8-A79F-B7E2377391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0a9b9c-4ed8-4e9f-8162-c5b27aabdd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310749-3EFE-4291-B98E-B2C89E47D4C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6154E7-A51F-4A14-BCBF-5616579110C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Records</vt:lpstr>
      <vt:lpstr>Dashboard</vt:lpstr>
      <vt:lpstr>Report 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Siddiqui Oyinpo</dc:creator>
  <cp:lastModifiedBy>Siddiqui Oyinpo</cp:lastModifiedBy>
  <cp:lastPrinted>2026-05-12T16:47:38Z</cp:lastPrinted>
  <dcterms:created xsi:type="dcterms:W3CDTF">2026-05-12T16:52:14Z</dcterms:created>
  <dcterms:modified xsi:type="dcterms:W3CDTF">2026-05-12T17:03:04Z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0x010100F86D39A355080C45AB74C82FF1E3E82A</vt:lpwstr>
  </property>
</Properties>
</file>